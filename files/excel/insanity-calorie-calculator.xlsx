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f86dd322aa2d8b/Documents/Professional Development/Portfolio/"/>
    </mc:Choice>
  </mc:AlternateContent>
  <xr:revisionPtr revIDLastSave="0" documentId="8_{6C2952E8-35E4-4CF4-916A-FADB9A70159D}" xr6:coauthVersionLast="47" xr6:coauthVersionMax="47" xr10:uidLastSave="{00000000-0000-0000-0000-000000000000}"/>
  <bookViews>
    <workbookView xWindow="24" yWindow="744" windowWidth="23016" windowHeight="12216" xr2:uid="{54B8DF52-FDDF-4FB7-B401-E02B29814126}"/>
  </bookViews>
  <sheets>
    <sheet name="Insanity Calorie Calculator" sheetId="1" r:id="rId1"/>
  </sheets>
  <externalReferences>
    <externalReference r:id="rId2"/>
  </externalReferences>
  <definedNames>
    <definedName name="Advertising_Values">[1]Options!$A$74:$A$76</definedName>
    <definedName name="Choose_the_Correct_Decision_Set">[1]Options!$A$2:$A$5</definedName>
    <definedName name="Goal_Seek_Changing_Values">[1]Options!$A$43:$A$58</definedName>
    <definedName name="Goal_Seek_Selections">[1]Options!$A$8:$A$15</definedName>
    <definedName name="Goal_Seek_To_Values">[1]Options!$A$18:$A$40</definedName>
    <definedName name="Price_Values">[1]Options!$A$79:$A$99</definedName>
    <definedName name="Supplier_Contract_Values">[1]Options!$A$61:$A$71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C14" i="1" s="1"/>
  <c r="F14" i="1"/>
  <c r="F15" i="1" s="1"/>
  <c r="G14" i="1"/>
  <c r="G13" i="1" s="1"/>
  <c r="C15" i="1" l="1"/>
  <c r="C13" i="1"/>
  <c r="E14" i="1"/>
  <c r="D14" i="1"/>
  <c r="F13" i="1"/>
  <c r="G15" i="1"/>
  <c r="E13" i="1" l="1"/>
  <c r="E15" i="1"/>
  <c r="D13" i="1"/>
  <c r="D15" i="1"/>
</calcChain>
</file>

<file path=xl/sharedStrings.xml><?xml version="1.0" encoding="utf-8"?>
<sst xmlns="http://schemas.openxmlformats.org/spreadsheetml/2006/main" count="33" uniqueCount="26">
  <si>
    <t>Hard daily exercise and/or a physical job</t>
  </si>
  <si>
    <t>Hard exercise (6-7 days/week)</t>
  </si>
  <si>
    <t>Gain</t>
  </si>
  <si>
    <t>Moderate exercise (3-5 days/week)</t>
  </si>
  <si>
    <t>Maintain</t>
  </si>
  <si>
    <t>Light exercise (1-3 days/week)</t>
  </si>
  <si>
    <t>Female</t>
  </si>
  <si>
    <t>Lose</t>
  </si>
  <si>
    <t>Little or no exercise</t>
  </si>
  <si>
    <t>Male</t>
  </si>
  <si>
    <t>Weight Goal</t>
  </si>
  <si>
    <t>Hard daily exercise/ physical job</t>
  </si>
  <si>
    <t>6-7 days/week</t>
  </si>
  <si>
    <t>3-5 days/week</t>
  </si>
  <si>
    <t>1-2 days/wk</t>
  </si>
  <si>
    <t>No exercise</t>
  </si>
  <si>
    <t>Exercise Level</t>
  </si>
  <si>
    <t>Recommended Caloric Intake to Reach Your Goal Weight</t>
  </si>
  <si>
    <t>Base Caloric Needs</t>
  </si>
  <si>
    <t>Current Exercise Level</t>
  </si>
  <si>
    <t>Goal Weight</t>
  </si>
  <si>
    <t>Age</t>
  </si>
  <si>
    <t>Current Weight in Pounds</t>
  </si>
  <si>
    <t>Height in Inches</t>
  </si>
  <si>
    <t>Male/Female</t>
  </si>
  <si>
    <t>Input Your Personal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</si>
</sst>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/>
    <xf numFmtId="1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/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6" xfId="0" applyFont="1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3" fillId="0" borderId="0" xfId="0" applyNumberFormat="1" applyFont="1"/>
    <xf numFmtId="0" fontId="3" fillId="0" borderId="0" xfId="0" applyFont="1"/>
    <xf numFmtId="0" fontId="0" fillId="2" borderId="5" xfId="0" applyFill="1" applyBorder="1" applyAlignment="1">
      <alignment horizontal="left"/>
    </xf>
    <xf numFmtId="0" fontId="0" fillId="2" borderId="5" xfId="0" applyFill="1" applyBorder="1"/>
    <xf numFmtId="0" fontId="4" fillId="0" borderId="0" xfId="0" applyFont="1"/>
    <xf numFmtId="0" fontId="0" fillId="2" borderId="5" xfId="0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chool/School-MyCollegeFriend/modelingBasics-A5-Hans_Haroldsen.xlsm" TargetMode="External"/><Relationship Id="rId1" Type="http://schemas.openxmlformats.org/officeDocument/2006/relationships/externalLinkPath" Target="/78f86dd322aa2d8b/Documents/School/School-MyCollegeFriend/modelingBasics-A5-Hans_Haroldse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nable Macros"/>
      <sheetName val="Paycheck"/>
      <sheetName val="Scenario Summary"/>
      <sheetName val="Pricing"/>
      <sheetName val="Options"/>
    </sheetNames>
    <sheetDataSet>
      <sheetData sheetId="0"/>
      <sheetData sheetId="1"/>
      <sheetData sheetId="2"/>
      <sheetData sheetId="3">
        <row r="33">
          <cell r="B33">
            <v>0</v>
          </cell>
        </row>
      </sheetData>
      <sheetData sheetId="4">
        <row r="2">
          <cell r="A2" t="str">
            <v>Decision Set 1</v>
          </cell>
        </row>
        <row r="3">
          <cell r="A3" t="str">
            <v>Decision Set 2</v>
          </cell>
        </row>
        <row r="4">
          <cell r="A4" t="str">
            <v>Decision Set 3</v>
          </cell>
        </row>
        <row r="5">
          <cell r="A5" t="str">
            <v>Decision Set 4</v>
          </cell>
        </row>
        <row r="8">
          <cell r="A8" t="str">
            <v>$C$3</v>
          </cell>
        </row>
        <row r="9">
          <cell r="A9" t="str">
            <v>$C$4</v>
          </cell>
        </row>
        <row r="10">
          <cell r="A10" t="str">
            <v>$C$5</v>
          </cell>
        </row>
        <row r="11">
          <cell r="A11" t="str">
            <v>$C$8</v>
          </cell>
        </row>
        <row r="12">
          <cell r="A12" t="str">
            <v>$C$9</v>
          </cell>
        </row>
        <row r="13">
          <cell r="A13" t="str">
            <v>$C$10</v>
          </cell>
        </row>
        <row r="14">
          <cell r="A14" t="str">
            <v>$C$13</v>
          </cell>
        </row>
        <row r="15">
          <cell r="A15" t="str">
            <v>$C$14</v>
          </cell>
        </row>
        <row r="18">
          <cell r="A18">
            <v>2350000</v>
          </cell>
        </row>
        <row r="19">
          <cell r="A19">
            <v>2375000</v>
          </cell>
        </row>
        <row r="20">
          <cell r="A20">
            <v>2400000</v>
          </cell>
        </row>
        <row r="21">
          <cell r="A21">
            <v>2425000</v>
          </cell>
        </row>
        <row r="22">
          <cell r="A22">
            <v>2450000</v>
          </cell>
        </row>
        <row r="23">
          <cell r="A23">
            <v>2475000</v>
          </cell>
        </row>
        <row r="24">
          <cell r="A24">
            <v>2500000</v>
          </cell>
        </row>
        <row r="25">
          <cell r="A25">
            <v>2525000</v>
          </cell>
        </row>
        <row r="26">
          <cell r="A26">
            <v>2550000</v>
          </cell>
        </row>
        <row r="27">
          <cell r="A27">
            <v>2575000</v>
          </cell>
        </row>
        <row r="28">
          <cell r="A28">
            <v>2600000</v>
          </cell>
        </row>
        <row r="29">
          <cell r="A29">
            <v>2625000</v>
          </cell>
        </row>
        <row r="30">
          <cell r="A30">
            <v>2650000</v>
          </cell>
        </row>
        <row r="31">
          <cell r="A31">
            <v>2675000</v>
          </cell>
        </row>
        <row r="32">
          <cell r="A32">
            <v>2700000</v>
          </cell>
        </row>
        <row r="33">
          <cell r="A33">
            <v>2725000</v>
          </cell>
        </row>
        <row r="34">
          <cell r="A34">
            <v>2750000</v>
          </cell>
        </row>
        <row r="35">
          <cell r="A35">
            <v>2775000</v>
          </cell>
        </row>
        <row r="36">
          <cell r="A36">
            <v>2800000</v>
          </cell>
        </row>
        <row r="37">
          <cell r="A37">
            <v>2825000</v>
          </cell>
        </row>
        <row r="38">
          <cell r="A38">
            <v>2850000</v>
          </cell>
        </row>
        <row r="39">
          <cell r="A39">
            <v>2875000</v>
          </cell>
        </row>
        <row r="40">
          <cell r="A40">
            <v>2900000</v>
          </cell>
        </row>
        <row r="43">
          <cell r="A43">
            <v>200</v>
          </cell>
        </row>
        <row r="44">
          <cell r="A44">
            <v>210</v>
          </cell>
        </row>
        <row r="45">
          <cell r="A45">
            <v>220</v>
          </cell>
        </row>
        <row r="46">
          <cell r="A46">
            <v>230</v>
          </cell>
        </row>
        <row r="47">
          <cell r="A47">
            <v>240</v>
          </cell>
        </row>
        <row r="48">
          <cell r="A48">
            <v>250</v>
          </cell>
        </row>
        <row r="49">
          <cell r="A49">
            <v>260</v>
          </cell>
        </row>
        <row r="50">
          <cell r="A50">
            <v>270</v>
          </cell>
        </row>
        <row r="51">
          <cell r="A51">
            <v>280</v>
          </cell>
        </row>
        <row r="52">
          <cell r="A52">
            <v>290</v>
          </cell>
        </row>
        <row r="53">
          <cell r="A53">
            <v>300</v>
          </cell>
        </row>
        <row r="54">
          <cell r="A54">
            <v>310</v>
          </cell>
        </row>
        <row r="55">
          <cell r="A55">
            <v>320</v>
          </cell>
        </row>
        <row r="56">
          <cell r="A56">
            <v>330</v>
          </cell>
        </row>
        <row r="57">
          <cell r="A57">
            <v>340</v>
          </cell>
        </row>
        <row r="58">
          <cell r="A58">
            <v>350</v>
          </cell>
        </row>
        <row r="61">
          <cell r="A61">
            <v>0</v>
          </cell>
        </row>
        <row r="62">
          <cell r="A62">
            <v>10000000</v>
          </cell>
        </row>
        <row r="63">
          <cell r="A63">
            <v>20000000</v>
          </cell>
        </row>
        <row r="64">
          <cell r="A64">
            <v>30000000</v>
          </cell>
        </row>
        <row r="65">
          <cell r="A65">
            <v>40000000</v>
          </cell>
        </row>
        <row r="66">
          <cell r="A66">
            <v>50000000</v>
          </cell>
        </row>
        <row r="67">
          <cell r="A67">
            <v>60000000</v>
          </cell>
        </row>
        <row r="68">
          <cell r="A68">
            <v>70000000</v>
          </cell>
        </row>
        <row r="69">
          <cell r="A69">
            <v>80000000</v>
          </cell>
        </row>
        <row r="70">
          <cell r="A70">
            <v>90000000</v>
          </cell>
        </row>
        <row r="71">
          <cell r="A71">
            <v>100000000</v>
          </cell>
        </row>
        <row r="74">
          <cell r="A74">
            <v>25000000</v>
          </cell>
        </row>
        <row r="75">
          <cell r="A75">
            <v>50000000</v>
          </cell>
        </row>
        <row r="76">
          <cell r="A76">
            <v>75000000</v>
          </cell>
        </row>
        <row r="79">
          <cell r="A79">
            <v>200</v>
          </cell>
        </row>
        <row r="80">
          <cell r="A80">
            <v>210</v>
          </cell>
        </row>
        <row r="81">
          <cell r="A81">
            <v>220</v>
          </cell>
        </row>
        <row r="82">
          <cell r="A82">
            <v>230</v>
          </cell>
        </row>
        <row r="83">
          <cell r="A83">
            <v>240</v>
          </cell>
        </row>
        <row r="84">
          <cell r="A84">
            <v>250</v>
          </cell>
        </row>
        <row r="85">
          <cell r="A85">
            <v>260</v>
          </cell>
        </row>
        <row r="86">
          <cell r="A86">
            <v>270</v>
          </cell>
        </row>
        <row r="87">
          <cell r="A87">
            <v>280</v>
          </cell>
        </row>
        <row r="88">
          <cell r="A88">
            <v>290</v>
          </cell>
        </row>
        <row r="89">
          <cell r="A89">
            <v>300</v>
          </cell>
        </row>
        <row r="90">
          <cell r="A90">
            <v>310</v>
          </cell>
        </row>
        <row r="91">
          <cell r="A91">
            <v>320</v>
          </cell>
        </row>
        <row r="92">
          <cell r="A92">
            <v>330</v>
          </cell>
        </row>
        <row r="93">
          <cell r="A93">
            <v>340</v>
          </cell>
        </row>
        <row r="94">
          <cell r="A94">
            <v>350</v>
          </cell>
        </row>
        <row r="95">
          <cell r="A95">
            <v>360</v>
          </cell>
        </row>
        <row r="96">
          <cell r="A96">
            <v>370</v>
          </cell>
        </row>
        <row r="97">
          <cell r="A97">
            <v>380</v>
          </cell>
        </row>
        <row r="98">
          <cell r="A98">
            <v>390</v>
          </cell>
        </row>
        <row r="99">
          <cell r="A99">
            <v>400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F40E-D7A5-42B6-B0BF-CAF35403DE9E}">
  <dimension ref="A1:I53"/>
  <sheetViews>
    <sheetView showGridLines="0" tabSelected="1" workbookViewId="0">
      <selection activeCell="A15" sqref="A15"/>
    </sheetView>
  </sheetViews>
  <sheetFormatPr defaultRowHeight="14.4" x14ac:dyDescent="0.3"/>
  <cols>
    <col min="1" max="1" width="27.5546875" bestFit="1" customWidth="1"/>
    <col min="2" max="5" width="17.44140625" customWidth="1"/>
    <col min="6" max="7" width="17.44140625" bestFit="1" customWidth="1"/>
    <col min="9" max="9" width="0" hidden="1" customWidth="1"/>
  </cols>
  <sheetData>
    <row r="1" spans="1:9" ht="18" x14ac:dyDescent="0.35">
      <c r="A1" s="29" t="s">
        <v>25</v>
      </c>
      <c r="B1" s="29"/>
      <c r="C1" s="29"/>
      <c r="I1" t="s">
        <v>6</v>
      </c>
    </row>
    <row r="2" spans="1:9" x14ac:dyDescent="0.3">
      <c r="A2" t="s">
        <v>24</v>
      </c>
      <c r="B2" s="28" t="s">
        <v>9</v>
      </c>
      <c r="I2" t="s">
        <v>9</v>
      </c>
    </row>
    <row r="3" spans="1:9" x14ac:dyDescent="0.3">
      <c r="A3" t="s">
        <v>23</v>
      </c>
      <c r="B3" s="26">
        <v>72</v>
      </c>
    </row>
    <row r="4" spans="1:9" x14ac:dyDescent="0.3">
      <c r="A4" t="s">
        <v>22</v>
      </c>
      <c r="B4" s="26">
        <v>192</v>
      </c>
      <c r="E4" s="27"/>
    </row>
    <row r="5" spans="1:9" x14ac:dyDescent="0.3">
      <c r="A5" t="s">
        <v>21</v>
      </c>
      <c r="B5" s="26">
        <v>33</v>
      </c>
    </row>
    <row r="6" spans="1:9" x14ac:dyDescent="0.3">
      <c r="A6" t="s">
        <v>20</v>
      </c>
      <c r="B6" s="26">
        <v>175</v>
      </c>
    </row>
    <row r="7" spans="1:9" x14ac:dyDescent="0.3">
      <c r="A7" t="s">
        <v>19</v>
      </c>
      <c r="B7" s="25" t="s">
        <v>12</v>
      </c>
      <c r="C7" s="25"/>
    </row>
    <row r="8" spans="1:9" x14ac:dyDescent="0.3">
      <c r="A8" s="24" t="s">
        <v>18</v>
      </c>
      <c r="B8" s="23">
        <f>IF(B2="Male",66+(6.23*B4)+(12.7*B3)-(6.8*B5),655+(4.35*B4)+(4.7*B3)-(4.7*B5))</f>
        <v>1952.1599999999999</v>
      </c>
    </row>
    <row r="9" spans="1:9" ht="15" thickBot="1" x14ac:dyDescent="0.35"/>
    <row r="10" spans="1:9" ht="18" x14ac:dyDescent="0.35">
      <c r="B10" s="22" t="s">
        <v>17</v>
      </c>
      <c r="C10" s="21"/>
      <c r="D10" s="21"/>
      <c r="E10" s="21"/>
      <c r="F10" s="21"/>
      <c r="G10" s="20"/>
    </row>
    <row r="11" spans="1:9" ht="28.8" x14ac:dyDescent="0.3">
      <c r="B11" s="19" t="s">
        <v>16</v>
      </c>
      <c r="C11" s="18" t="s">
        <v>15</v>
      </c>
      <c r="D11" s="18" t="s">
        <v>14</v>
      </c>
      <c r="E11" s="18" t="s">
        <v>13</v>
      </c>
      <c r="F11" s="18" t="s">
        <v>12</v>
      </c>
      <c r="G11" s="17" t="s">
        <v>11</v>
      </c>
    </row>
    <row r="12" spans="1:9" x14ac:dyDescent="0.3">
      <c r="B12" s="16" t="s">
        <v>10</v>
      </c>
      <c r="C12" s="15"/>
      <c r="D12" s="15"/>
      <c r="E12" s="15"/>
      <c r="F12" s="15"/>
      <c r="G12" s="14"/>
    </row>
    <row r="13" spans="1:9" x14ac:dyDescent="0.3">
      <c r="B13" s="13" t="s">
        <v>7</v>
      </c>
      <c r="C13" s="12">
        <f>C14-500</f>
        <v>1842.5919999999996</v>
      </c>
      <c r="D13" s="12">
        <f>D14-500</f>
        <v>2184.2199999999998</v>
      </c>
      <c r="E13" s="12">
        <f>E14-500</f>
        <v>2525.848</v>
      </c>
      <c r="F13" s="12">
        <f>F14-500</f>
        <v>2818.6719999999996</v>
      </c>
      <c r="G13" s="11">
        <f>G14-500</f>
        <v>3209.1039999999994</v>
      </c>
    </row>
    <row r="14" spans="1:9" x14ac:dyDescent="0.3">
      <c r="B14" s="13" t="s">
        <v>4</v>
      </c>
      <c r="C14" s="12">
        <f>$B8*1.2</f>
        <v>2342.5919999999996</v>
      </c>
      <c r="D14" s="12">
        <f>$B8*1.375</f>
        <v>2684.22</v>
      </c>
      <c r="E14" s="12">
        <f>$B8*1.55</f>
        <v>3025.848</v>
      </c>
      <c r="F14" s="12">
        <f>$B8*1.7</f>
        <v>3318.6719999999996</v>
      </c>
      <c r="G14" s="11">
        <f>$B8*1.9</f>
        <v>3709.1039999999994</v>
      </c>
    </row>
    <row r="15" spans="1:9" ht="15" thickBot="1" x14ac:dyDescent="0.35">
      <c r="B15" s="10" t="s">
        <v>2</v>
      </c>
      <c r="C15" s="9">
        <f>C14+300</f>
        <v>2642.5919999999996</v>
      </c>
      <c r="D15" s="9">
        <f>D14+300</f>
        <v>2984.22</v>
      </c>
      <c r="E15" s="9">
        <f>E14+300</f>
        <v>3325.848</v>
      </c>
      <c r="F15" s="9">
        <f>F14+300</f>
        <v>3618.6719999999996</v>
      </c>
      <c r="G15" s="8">
        <f>G14+300</f>
        <v>4009.1039999999994</v>
      </c>
    </row>
    <row r="16" spans="1:9" x14ac:dyDescent="0.3">
      <c r="C16" s="1"/>
      <c r="D16" s="1"/>
      <c r="E16" s="1"/>
      <c r="F16" s="1"/>
      <c r="G16" s="1"/>
    </row>
    <row r="27" spans="1:4" x14ac:dyDescent="0.3">
      <c r="B27" s="4"/>
    </row>
    <row r="29" spans="1:4" x14ac:dyDescent="0.3">
      <c r="A29" s="7"/>
      <c r="B29" s="7"/>
      <c r="C29" s="7"/>
    </row>
    <row r="31" spans="1:4" x14ac:dyDescent="0.3">
      <c r="B31" s="5"/>
      <c r="C31" s="5"/>
      <c r="D31" s="5"/>
    </row>
    <row r="32" spans="1:4" x14ac:dyDescent="0.3">
      <c r="B32" s="4"/>
      <c r="C32" s="4"/>
    </row>
    <row r="37" spans="1:8" x14ac:dyDescent="0.3">
      <c r="B37" s="6"/>
    </row>
    <row r="38" spans="1:8" x14ac:dyDescent="0.3">
      <c r="B38" s="6"/>
    </row>
    <row r="40" spans="1:8" x14ac:dyDescent="0.3">
      <c r="A40" s="5"/>
    </row>
    <row r="41" spans="1:8" x14ac:dyDescent="0.3">
      <c r="C41" s="4"/>
    </row>
    <row r="42" spans="1:8" x14ac:dyDescent="0.3">
      <c r="C42" s="4"/>
    </row>
    <row r="43" spans="1:8" x14ac:dyDescent="0.3">
      <c r="C43" s="4"/>
    </row>
    <row r="44" spans="1:8" x14ac:dyDescent="0.3">
      <c r="C44" s="3"/>
    </row>
    <row r="47" spans="1:8" x14ac:dyDescent="0.3">
      <c r="E47" s="2"/>
      <c r="F47" s="2"/>
      <c r="G47" s="1"/>
      <c r="H47" s="1"/>
    </row>
    <row r="48" spans="1:8" x14ac:dyDescent="0.3">
      <c r="H48" s="1"/>
    </row>
    <row r="49" spans="1:8" x14ac:dyDescent="0.3">
      <c r="A49" t="s">
        <v>9</v>
      </c>
      <c r="B49" t="s">
        <v>8</v>
      </c>
      <c r="C49" t="s">
        <v>7</v>
      </c>
      <c r="H49" s="1"/>
    </row>
    <row r="50" spans="1:8" x14ac:dyDescent="0.3">
      <c r="A50" t="s">
        <v>6</v>
      </c>
      <c r="B50" t="s">
        <v>5</v>
      </c>
      <c r="C50" t="s">
        <v>4</v>
      </c>
      <c r="H50" s="1"/>
    </row>
    <row r="51" spans="1:8" x14ac:dyDescent="0.3">
      <c r="B51" t="s">
        <v>3</v>
      </c>
      <c r="C51" t="s">
        <v>2</v>
      </c>
      <c r="E51" s="2"/>
      <c r="F51" s="2"/>
      <c r="G51" s="1"/>
      <c r="H51" s="1"/>
    </row>
    <row r="52" spans="1:8" x14ac:dyDescent="0.3">
      <c r="B52" t="s">
        <v>1</v>
      </c>
    </row>
    <row r="53" spans="1:8" x14ac:dyDescent="0.3">
      <c r="B53" t="s">
        <v>0</v>
      </c>
    </row>
  </sheetData>
  <mergeCells count="3">
    <mergeCell ref="A1:C1"/>
    <mergeCell ref="B10:G10"/>
    <mergeCell ref="B7:C7"/>
  </mergeCells>
  <conditionalFormatting sqref="C13:G13">
    <cfRule type="expression" dxfId="2" priority="1">
      <formula>AND($B$4&gt;$B$6,$B$7=C$11)</formula>
    </cfRule>
  </conditionalFormatting>
  <conditionalFormatting sqref="C14:G14">
    <cfRule type="expression" dxfId="1" priority="2">
      <formula>AND($B$4&lt;=$B$6,$B$4&gt;=$B$6-10,$B$7=C$11)</formula>
    </cfRule>
  </conditionalFormatting>
  <conditionalFormatting sqref="C15:G15">
    <cfRule type="expression" dxfId="0" priority="3">
      <formula>AND($B$4&lt;$B$6-10,$B$7=C$11)</formula>
    </cfRule>
  </conditionalFormatting>
  <dataValidations count="2">
    <dataValidation type="list" allowBlank="1" showInputMessage="1" showErrorMessage="1" sqref="B7" xr:uid="{FDFDB598-E740-4162-8DD5-ECB62BEB1360}">
      <formula1>$C$11:$G$11</formula1>
    </dataValidation>
    <dataValidation type="list" allowBlank="1" showInputMessage="1" showErrorMessage="1" sqref="B2" xr:uid="{8F13C7C3-8F8A-42D0-B8B2-5C3406446F16}">
      <formula1>$I$1:$I$2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Insanity Calorie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M. Haroldsen</dc:creator>
  <cp:lastModifiedBy>Hans M. Haroldsen</cp:lastModifiedBy>
  <dcterms:created xsi:type="dcterms:W3CDTF">2026-08-29T23:44:44Z</dcterms:created>
  <dcterms:modified xsi:type="dcterms:W3CDTF">2026-08-29T23:45:21Z</dcterms:modified>
</cp:coreProperties>
</file>