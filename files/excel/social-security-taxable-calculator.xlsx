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f86dd322aa2d8b/Documents/Professional Development/Portfolio/"/>
    </mc:Choice>
  </mc:AlternateContent>
  <xr:revisionPtr revIDLastSave="0" documentId="8_{F49C16E7-F6DD-4DA1-B886-7352F42F978A}" xr6:coauthVersionLast="47" xr6:coauthVersionMax="47" xr10:uidLastSave="{00000000-0000-0000-0000-000000000000}"/>
  <bookViews>
    <workbookView xWindow="24" yWindow="384" windowWidth="23016" windowHeight="12216" xr2:uid="{808A6DBB-EAD0-4166-A548-59882B9CD6FD}"/>
  </bookViews>
  <sheets>
    <sheet name="Is my SS Taxable" sheetId="1" r:id="rId1"/>
    <sheet name="Soc. Sec. Data Sheet" sheetId="2" r:id="rId2"/>
  </sheets>
  <externalReferences>
    <externalReference r:id="rId3"/>
  </externalReferences>
  <definedNames>
    <definedName name="_xlnm._FilterDatabase" localSheetId="1" hidden="1">'Soc. Sec. Data Sheet'!$A$2:$A$6</definedName>
    <definedName name="Advertising_Values">[1]Options!$A$74:$A$76</definedName>
    <definedName name="Choose_the_Correct_Decision_Set">[1]Options!$A$2:$A$5</definedName>
    <definedName name="Goal_Seek_Changing_Values">[1]Options!$A$43:$A$58</definedName>
    <definedName name="Goal_Seek_Selections">[1]Options!$A$8:$A$15</definedName>
    <definedName name="Goal_Seek_To_Values">[1]Options!$A$18:$A$40</definedName>
    <definedName name="Price_Values">[1]Options!$A$79:$A$99</definedName>
    <definedName name="Supplier_Contract_Values">[1]Options!$A$61:$A$71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2" l="1"/>
  <c r="G3" i="2"/>
  <c r="G4" i="2"/>
  <c r="G5" i="2" s="1"/>
  <c r="F13" i="1" s="1"/>
</calcChain>
</file>

<file path=xl/sharedStrings.xml><?xml version="1.0" encoding="utf-8"?>
<sst xmlns="http://schemas.openxmlformats.org/spreadsheetml/2006/main" count="28" uniqueCount="27">
  <si>
    <t>Amount of Social Security Subject to Tax:</t>
  </si>
  <si>
    <t>Tax-Exempt Interest</t>
  </si>
  <si>
    <t>Foreign Income Exclusion</t>
  </si>
  <si>
    <t>AGI (excluding Social Security)</t>
  </si>
  <si>
    <t>*Use one AGI figure or the other.</t>
  </si>
  <si>
    <t>AGI (including Social Security)</t>
  </si>
  <si>
    <t>Social Security Benefits Received</t>
  </si>
  <si>
    <t>Input Items</t>
  </si>
  <si>
    <t>Single</t>
  </si>
  <si>
    <t>What is the taxpayers filing status?</t>
  </si>
  <si>
    <t>How Much of My Social Security is Taxable?</t>
  </si>
  <si>
    <t>Threshold 2 (S, HH, MFS-Living Apart)</t>
  </si>
  <si>
    <t>Married Filing Separate - Living Apart</t>
  </si>
  <si>
    <t>Provisional Income</t>
  </si>
  <si>
    <t>Threshold 2 (MFJ)</t>
  </si>
  <si>
    <t>Married Filing Separate - Living Together</t>
  </si>
  <si>
    <t>MAGI</t>
  </si>
  <si>
    <t>Threshold 1 &amp; 2 (MFS-Living Together)</t>
  </si>
  <si>
    <t>Married Filing Joint</t>
  </si>
  <si>
    <t>Threshold 2 used</t>
  </si>
  <si>
    <t>Threshold 1 (S, HH, MFS-Living Apart)</t>
  </si>
  <si>
    <t>Head of Household</t>
  </si>
  <si>
    <t>Threshold 1 used</t>
  </si>
  <si>
    <t>Threshold 1 (MFJ)</t>
  </si>
  <si>
    <t>Misc. Intermediate Calculations</t>
  </si>
  <si>
    <t>Threshold Tiers and Amounts</t>
  </si>
  <si>
    <t>Filing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</si>
</sst>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8" fontId="2" fillId="2" borderId="0" xfId="0" applyNumberFormat="1" applyFont="1" applyFill="1"/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5" xfId="0" applyBorder="1"/>
    <xf numFmtId="6" fontId="0" fillId="3" borderId="6" xfId="0" applyNumberFormat="1" applyFill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6" fontId="0" fillId="3" borderId="7" xfId="0" applyNumberFormat="1" applyFill="1" applyBorder="1"/>
    <xf numFmtId="0" fontId="3" fillId="4" borderId="0" xfId="0" applyFont="1" applyFill="1" applyAlignment="1">
      <alignment horizontal="center" vertical="center" wrapText="1"/>
    </xf>
    <xf numFmtId="6" fontId="0" fillId="3" borderId="8" xfId="0" applyNumberFormat="1" applyFill="1" applyBorder="1"/>
    <xf numFmtId="0" fontId="1" fillId="0" borderId="0" xfId="0" applyFont="1" applyAlignment="1">
      <alignment horizontal="center"/>
    </xf>
    <xf numFmtId="0" fontId="0" fillId="3" borderId="9" xfId="0" applyFill="1" applyBorder="1" applyAlignment="1">
      <alignment horizontal="left"/>
    </xf>
    <xf numFmtId="0" fontId="4" fillId="0" borderId="0" xfId="0" applyFont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6" fontId="0" fillId="0" borderId="0" xfId="0" applyNumberForma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chool/School-MyCollegeFriend/modelingBasics-A5-Hans_Haroldsen.xlsm" TargetMode="External"/><Relationship Id="rId1" Type="http://schemas.openxmlformats.org/officeDocument/2006/relationships/externalLinkPath" Target="/78f86dd322aa2d8b/Documents/School/School-MyCollegeFriend/modelingBasics-A5-Hans_Haroldse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nable Macros"/>
      <sheetName val="Paycheck"/>
      <sheetName val="Scenario Summary"/>
      <sheetName val="Pricing"/>
      <sheetName val="Options"/>
    </sheetNames>
    <sheetDataSet>
      <sheetData sheetId="0"/>
      <sheetData sheetId="1"/>
      <sheetData sheetId="2"/>
      <sheetData sheetId="3">
        <row r="33">
          <cell r="B33">
            <v>0</v>
          </cell>
        </row>
      </sheetData>
      <sheetData sheetId="4">
        <row r="2">
          <cell r="A2" t="str">
            <v>Decision Set 1</v>
          </cell>
        </row>
        <row r="3">
          <cell r="A3" t="str">
            <v>Decision Set 2</v>
          </cell>
        </row>
        <row r="4">
          <cell r="A4" t="str">
            <v>Decision Set 3</v>
          </cell>
        </row>
        <row r="5">
          <cell r="A5" t="str">
            <v>Decision Set 4</v>
          </cell>
        </row>
        <row r="8">
          <cell r="A8" t="str">
            <v>$C$3</v>
          </cell>
        </row>
        <row r="9">
          <cell r="A9" t="str">
            <v>$C$4</v>
          </cell>
        </row>
        <row r="10">
          <cell r="A10" t="str">
            <v>$C$5</v>
          </cell>
        </row>
        <row r="11">
          <cell r="A11" t="str">
            <v>$C$8</v>
          </cell>
        </row>
        <row r="12">
          <cell r="A12" t="str">
            <v>$C$9</v>
          </cell>
        </row>
        <row r="13">
          <cell r="A13" t="str">
            <v>$C$10</v>
          </cell>
        </row>
        <row r="14">
          <cell r="A14" t="str">
            <v>$C$13</v>
          </cell>
        </row>
        <row r="15">
          <cell r="A15" t="str">
            <v>$C$14</v>
          </cell>
        </row>
        <row r="18">
          <cell r="A18">
            <v>2350000</v>
          </cell>
        </row>
        <row r="19">
          <cell r="A19">
            <v>2375000</v>
          </cell>
        </row>
        <row r="20">
          <cell r="A20">
            <v>2400000</v>
          </cell>
        </row>
        <row r="21">
          <cell r="A21">
            <v>2425000</v>
          </cell>
        </row>
        <row r="22">
          <cell r="A22">
            <v>2450000</v>
          </cell>
        </row>
        <row r="23">
          <cell r="A23">
            <v>2475000</v>
          </cell>
        </row>
        <row r="24">
          <cell r="A24">
            <v>2500000</v>
          </cell>
        </row>
        <row r="25">
          <cell r="A25">
            <v>2525000</v>
          </cell>
        </row>
        <row r="26">
          <cell r="A26">
            <v>2550000</v>
          </cell>
        </row>
        <row r="27">
          <cell r="A27">
            <v>2575000</v>
          </cell>
        </row>
        <row r="28">
          <cell r="A28">
            <v>2600000</v>
          </cell>
        </row>
        <row r="29">
          <cell r="A29">
            <v>2625000</v>
          </cell>
        </row>
        <row r="30">
          <cell r="A30">
            <v>2650000</v>
          </cell>
        </row>
        <row r="31">
          <cell r="A31">
            <v>2675000</v>
          </cell>
        </row>
        <row r="32">
          <cell r="A32">
            <v>2700000</v>
          </cell>
        </row>
        <row r="33">
          <cell r="A33">
            <v>2725000</v>
          </cell>
        </row>
        <row r="34">
          <cell r="A34">
            <v>2750000</v>
          </cell>
        </row>
        <row r="35">
          <cell r="A35">
            <v>2775000</v>
          </cell>
        </row>
        <row r="36">
          <cell r="A36">
            <v>2800000</v>
          </cell>
        </row>
        <row r="37">
          <cell r="A37">
            <v>2825000</v>
          </cell>
        </row>
        <row r="38">
          <cell r="A38">
            <v>2850000</v>
          </cell>
        </row>
        <row r="39">
          <cell r="A39">
            <v>2875000</v>
          </cell>
        </row>
        <row r="40">
          <cell r="A40">
            <v>2900000</v>
          </cell>
        </row>
        <row r="43">
          <cell r="A43">
            <v>200</v>
          </cell>
        </row>
        <row r="44">
          <cell r="A44">
            <v>210</v>
          </cell>
        </row>
        <row r="45">
          <cell r="A45">
            <v>220</v>
          </cell>
        </row>
        <row r="46">
          <cell r="A46">
            <v>230</v>
          </cell>
        </row>
        <row r="47">
          <cell r="A47">
            <v>240</v>
          </cell>
        </row>
        <row r="48">
          <cell r="A48">
            <v>250</v>
          </cell>
        </row>
        <row r="49">
          <cell r="A49">
            <v>260</v>
          </cell>
        </row>
        <row r="50">
          <cell r="A50">
            <v>270</v>
          </cell>
        </row>
        <row r="51">
          <cell r="A51">
            <v>280</v>
          </cell>
        </row>
        <row r="52">
          <cell r="A52">
            <v>290</v>
          </cell>
        </row>
        <row r="53">
          <cell r="A53">
            <v>300</v>
          </cell>
        </row>
        <row r="54">
          <cell r="A54">
            <v>310</v>
          </cell>
        </row>
        <row r="55">
          <cell r="A55">
            <v>320</v>
          </cell>
        </row>
        <row r="56">
          <cell r="A56">
            <v>330</v>
          </cell>
        </row>
        <row r="57">
          <cell r="A57">
            <v>340</v>
          </cell>
        </row>
        <row r="58">
          <cell r="A58">
            <v>350</v>
          </cell>
        </row>
        <row r="61">
          <cell r="A61">
            <v>0</v>
          </cell>
        </row>
        <row r="62">
          <cell r="A62">
            <v>10000000</v>
          </cell>
        </row>
        <row r="63">
          <cell r="A63">
            <v>20000000</v>
          </cell>
        </row>
        <row r="64">
          <cell r="A64">
            <v>30000000</v>
          </cell>
        </row>
        <row r="65">
          <cell r="A65">
            <v>40000000</v>
          </cell>
        </row>
        <row r="66">
          <cell r="A66">
            <v>50000000</v>
          </cell>
        </row>
        <row r="67">
          <cell r="A67">
            <v>60000000</v>
          </cell>
        </row>
        <row r="68">
          <cell r="A68">
            <v>70000000</v>
          </cell>
        </row>
        <row r="69">
          <cell r="A69">
            <v>80000000</v>
          </cell>
        </row>
        <row r="70">
          <cell r="A70">
            <v>90000000</v>
          </cell>
        </row>
        <row r="71">
          <cell r="A71">
            <v>100000000</v>
          </cell>
        </row>
        <row r="74">
          <cell r="A74">
            <v>25000000</v>
          </cell>
        </row>
        <row r="75">
          <cell r="A75">
            <v>50000000</v>
          </cell>
        </row>
        <row r="76">
          <cell r="A76">
            <v>75000000</v>
          </cell>
        </row>
        <row r="79">
          <cell r="A79">
            <v>200</v>
          </cell>
        </row>
        <row r="80">
          <cell r="A80">
            <v>210</v>
          </cell>
        </row>
        <row r="81">
          <cell r="A81">
            <v>220</v>
          </cell>
        </row>
        <row r="82">
          <cell r="A82">
            <v>230</v>
          </cell>
        </row>
        <row r="83">
          <cell r="A83">
            <v>240</v>
          </cell>
        </row>
        <row r="84">
          <cell r="A84">
            <v>250</v>
          </cell>
        </row>
        <row r="85">
          <cell r="A85">
            <v>260</v>
          </cell>
        </row>
        <row r="86">
          <cell r="A86">
            <v>270</v>
          </cell>
        </row>
        <row r="87">
          <cell r="A87">
            <v>280</v>
          </cell>
        </row>
        <row r="88">
          <cell r="A88">
            <v>290</v>
          </cell>
        </row>
        <row r="89">
          <cell r="A89">
            <v>300</v>
          </cell>
        </row>
        <row r="90">
          <cell r="A90">
            <v>310</v>
          </cell>
        </row>
        <row r="91">
          <cell r="A91">
            <v>320</v>
          </cell>
        </row>
        <row r="92">
          <cell r="A92">
            <v>330</v>
          </cell>
        </row>
        <row r="93">
          <cell r="A93">
            <v>340</v>
          </cell>
        </row>
        <row r="94">
          <cell r="A94">
            <v>350</v>
          </cell>
        </row>
        <row r="95">
          <cell r="A95">
            <v>360</v>
          </cell>
        </row>
        <row r="96">
          <cell r="A96">
            <v>370</v>
          </cell>
        </row>
        <row r="97">
          <cell r="A97">
            <v>380</v>
          </cell>
        </row>
        <row r="98">
          <cell r="A98">
            <v>390</v>
          </cell>
        </row>
        <row r="99">
          <cell r="A99">
            <v>400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F843-DE90-4681-BA1F-CB6B1FA1A527}">
  <dimension ref="B1:V14"/>
  <sheetViews>
    <sheetView showGridLines="0" tabSelected="1" workbookViewId="0">
      <selection activeCell="P20" sqref="P20"/>
    </sheetView>
  </sheetViews>
  <sheetFormatPr defaultRowHeight="14.4" x14ac:dyDescent="0.3"/>
  <cols>
    <col min="5" max="5" width="11.5546875" customWidth="1"/>
    <col min="6" max="6" width="11.33203125" bestFit="1" customWidth="1"/>
  </cols>
  <sheetData>
    <row r="1" spans="2:22" ht="15" thickBot="1" x14ac:dyDescent="0.35"/>
    <row r="2" spans="2:22" ht="33.6" x14ac:dyDescent="0.65">
      <c r="B2" s="20" t="s">
        <v>10</v>
      </c>
      <c r="C2" s="19"/>
      <c r="D2" s="19"/>
      <c r="E2" s="19"/>
      <c r="F2" s="19"/>
      <c r="G2" s="19"/>
      <c r="H2" s="19"/>
      <c r="I2" s="19"/>
      <c r="J2" s="19"/>
      <c r="K2" s="18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2:22" x14ac:dyDescent="0.3">
      <c r="B3" s="8"/>
      <c r="K3" s="4"/>
    </row>
    <row r="4" spans="2:22" x14ac:dyDescent="0.3">
      <c r="B4" s="11" t="s">
        <v>9</v>
      </c>
      <c r="C4" s="10"/>
      <c r="D4" s="10"/>
      <c r="E4" s="10"/>
      <c r="F4" s="16" t="s">
        <v>8</v>
      </c>
      <c r="G4" s="16"/>
      <c r="H4" s="16"/>
      <c r="K4" s="4"/>
    </row>
    <row r="5" spans="2:22" x14ac:dyDescent="0.3">
      <c r="B5" s="8"/>
      <c r="K5" s="4"/>
    </row>
    <row r="6" spans="2:22" ht="15" thickBot="1" x14ac:dyDescent="0.35">
      <c r="B6" s="8"/>
      <c r="F6" s="15" t="s">
        <v>7</v>
      </c>
      <c r="K6" s="4"/>
    </row>
    <row r="7" spans="2:22" x14ac:dyDescent="0.3">
      <c r="B7" s="11" t="s">
        <v>6</v>
      </c>
      <c r="C7" s="10"/>
      <c r="D7" s="10"/>
      <c r="E7" s="10"/>
      <c r="F7" s="14">
        <v>23000</v>
      </c>
      <c r="K7" s="4"/>
    </row>
    <row r="8" spans="2:22" x14ac:dyDescent="0.3">
      <c r="B8" s="11" t="s">
        <v>5</v>
      </c>
      <c r="C8" s="10"/>
      <c r="D8" s="10"/>
      <c r="E8" s="10"/>
      <c r="F8" s="12">
        <v>56000</v>
      </c>
      <c r="G8" s="13" t="s">
        <v>4</v>
      </c>
      <c r="K8" s="4"/>
    </row>
    <row r="9" spans="2:22" x14ac:dyDescent="0.3">
      <c r="B9" s="11" t="s">
        <v>3</v>
      </c>
      <c r="C9" s="10"/>
      <c r="D9" s="10"/>
      <c r="E9" s="10"/>
      <c r="F9" s="12"/>
      <c r="G9" s="13"/>
      <c r="K9" s="4"/>
    </row>
    <row r="10" spans="2:22" x14ac:dyDescent="0.3">
      <c r="B10" s="11" t="s">
        <v>2</v>
      </c>
      <c r="C10" s="10"/>
      <c r="D10" s="10"/>
      <c r="E10" s="10"/>
      <c r="F10" s="12"/>
      <c r="K10" s="4"/>
    </row>
    <row r="11" spans="2:22" ht="15" thickBot="1" x14ac:dyDescent="0.35">
      <c r="B11" s="11" t="s">
        <v>1</v>
      </c>
      <c r="C11" s="10"/>
      <c r="D11" s="10"/>
      <c r="E11" s="10"/>
      <c r="F11" s="9"/>
      <c r="K11" s="4"/>
    </row>
    <row r="12" spans="2:22" x14ac:dyDescent="0.3">
      <c r="B12" s="8"/>
      <c r="K12" s="4"/>
    </row>
    <row r="13" spans="2:22" ht="15.6" x14ac:dyDescent="0.3">
      <c r="B13" s="7" t="s">
        <v>0</v>
      </c>
      <c r="C13" s="6"/>
      <c r="D13" s="6"/>
      <c r="E13" s="6"/>
      <c r="F13" s="5">
        <f>IF('Soc. Sec. Data Sheet'!G5&lt;='Soc. Sec. Data Sheet'!G2,0,IF(AND('Soc. Sec. Data Sheet'!G5&gt;'Soc. Sec. Data Sheet'!G2,'Soc. Sec. Data Sheet'!G5&lt;='Soc. Sec. Data Sheet'!G3),MIN(F7*50%,50%*('Soc. Sec. Data Sheet'!G5-'Soc. Sec. Data Sheet'!G2)),MIN(85%*('Soc. Sec. Data Sheet'!G5-'Soc. Sec. Data Sheet'!G3)+MIN(MIN(F7*50%,50%*('Soc. Sec. Data Sheet'!G5-'Soc. Sec. Data Sheet'!G2)),50%*('Soc. Sec. Data Sheet'!G3-'Soc. Sec. Data Sheet'!G2)),F7*85%)))</f>
        <v>13425</v>
      </c>
      <c r="K13" s="4"/>
    </row>
    <row r="14" spans="2:22" ht="15" thickBot="1" x14ac:dyDescent="0.35">
      <c r="B14" s="3"/>
      <c r="C14" s="2"/>
      <c r="D14" s="2"/>
      <c r="E14" s="2"/>
      <c r="F14" s="2"/>
      <c r="G14" s="2"/>
      <c r="H14" s="2"/>
      <c r="I14" s="2"/>
      <c r="J14" s="2"/>
      <c r="K14" s="1"/>
    </row>
  </sheetData>
  <dataConsolidate/>
  <mergeCells count="10">
    <mergeCell ref="B2:K2"/>
    <mergeCell ref="G8:G9"/>
    <mergeCell ref="B13:E13"/>
    <mergeCell ref="B11:E11"/>
    <mergeCell ref="F4:H4"/>
    <mergeCell ref="B7:E7"/>
    <mergeCell ref="B8:E8"/>
    <mergeCell ref="B9:E9"/>
    <mergeCell ref="B10:E10"/>
    <mergeCell ref="B4:E4"/>
  </mergeCell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A86678-A438-4251-B9CB-CF1281ACA310}">
          <x14:formula1>
            <xm:f>'Soc. Sec. Data Sheet'!$A$2:$A$6</xm:f>
          </x14:formula1>
          <xm:sqref>F4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FAB8-BB9E-44A9-80AC-F48CC6222B1B}">
  <dimension ref="A1:G6"/>
  <sheetViews>
    <sheetView workbookViewId="0">
      <selection activeCell="P20" sqref="P20"/>
    </sheetView>
  </sheetViews>
  <sheetFormatPr defaultRowHeight="14.4" x14ac:dyDescent="0.3"/>
  <cols>
    <col min="1" max="1" width="39.21875" customWidth="1"/>
    <col min="2" max="2" width="2.77734375" customWidth="1"/>
    <col min="3" max="3" width="39.21875" customWidth="1"/>
    <col min="4" max="4" width="8.33203125" bestFit="1" customWidth="1"/>
    <col min="5" max="5" width="2.77734375" customWidth="1"/>
    <col min="6" max="6" width="39.21875" customWidth="1"/>
    <col min="7" max="7" width="8.33203125" bestFit="1" customWidth="1"/>
  </cols>
  <sheetData>
    <row r="1" spans="1:7" x14ac:dyDescent="0.3">
      <c r="A1" s="23" t="s">
        <v>26</v>
      </c>
      <c r="C1" s="22" t="s">
        <v>25</v>
      </c>
      <c r="D1" s="22"/>
      <c r="F1" s="22" t="s">
        <v>24</v>
      </c>
      <c r="G1" s="22"/>
    </row>
    <row r="2" spans="1:7" x14ac:dyDescent="0.3">
      <c r="A2" t="s">
        <v>8</v>
      </c>
      <c r="C2" t="s">
        <v>23</v>
      </c>
      <c r="D2" s="21">
        <v>32000</v>
      </c>
      <c r="F2" t="s">
        <v>22</v>
      </c>
      <c r="G2" s="21">
        <f>IF('Is my SS Taxable'!F4="Married Filing Joint",'Soc. Sec. Data Sheet'!D2,IF(OR('Is my SS Taxable'!F4="Single",'Is my SS Taxable'!F4="Head of Household",'Is my SS Taxable'!F4="Married Filing Separate - Living Apart"),'Soc. Sec. Data Sheet'!D3,'Soc. Sec. Data Sheet'!D4))</f>
        <v>25000</v>
      </c>
    </row>
    <row r="3" spans="1:7" x14ac:dyDescent="0.3">
      <c r="A3" t="s">
        <v>21</v>
      </c>
      <c r="C3" t="s">
        <v>20</v>
      </c>
      <c r="D3" s="21">
        <v>25000</v>
      </c>
      <c r="F3" t="s">
        <v>19</v>
      </c>
      <c r="G3" s="21">
        <f>IF('Is my SS Taxable'!F4="Married Filing Joint",'Soc. Sec. Data Sheet'!D5,IF(OR('Is my SS Taxable'!F4="Single",'Is my SS Taxable'!F4="Head of Household",'Is my SS Taxable'!F4="Married Filing Separate - Living Apart"),'Soc. Sec. Data Sheet'!D6,'Soc. Sec. Data Sheet'!D4))</f>
        <v>34000</v>
      </c>
    </row>
    <row r="4" spans="1:7" x14ac:dyDescent="0.3">
      <c r="A4" t="s">
        <v>18</v>
      </c>
      <c r="C4" t="s">
        <v>17</v>
      </c>
      <c r="D4" s="21">
        <v>0</v>
      </c>
      <c r="F4" t="s">
        <v>16</v>
      </c>
      <c r="G4" s="21">
        <f>IF('Is my SS Taxable'!F8&lt;&gt;"",'Is my SS Taxable'!F8-'Is my SS Taxable'!F7+'Is my SS Taxable'!F10+'Is my SS Taxable'!F11,'Is my SS Taxable'!F9+'Is my SS Taxable'!F10+'Is my SS Taxable'!F11)</f>
        <v>33000</v>
      </c>
    </row>
    <row r="5" spans="1:7" x14ac:dyDescent="0.3">
      <c r="A5" t="s">
        <v>15</v>
      </c>
      <c r="C5" t="s">
        <v>14</v>
      </c>
      <c r="D5" s="21">
        <v>44000</v>
      </c>
      <c r="F5" t="s">
        <v>13</v>
      </c>
      <c r="G5" s="21">
        <f>G4+'Is my SS Taxable'!F7*50%</f>
        <v>44500</v>
      </c>
    </row>
    <row r="6" spans="1:7" x14ac:dyDescent="0.3">
      <c r="A6" t="s">
        <v>12</v>
      </c>
      <c r="C6" t="s">
        <v>11</v>
      </c>
      <c r="D6" s="21">
        <v>34000</v>
      </c>
    </row>
  </sheetData>
  <mergeCells count="2">
    <mergeCell ref="F1:G1"/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 my SS Taxable</vt:lpstr>
      <vt:lpstr>Soc. Sec. 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M. Haroldsen</dc:creator>
  <cp:lastModifiedBy>Hans M. Haroldsen</cp:lastModifiedBy>
  <dcterms:created xsi:type="dcterms:W3CDTF">2026-08-29T23:45:41Z</dcterms:created>
  <dcterms:modified xsi:type="dcterms:W3CDTF">2026-08-29T23:46:05Z</dcterms:modified>
</cp:coreProperties>
</file>