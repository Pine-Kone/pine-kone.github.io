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78f86dd322aa2d8b/Documents/Professional Development/Portfolio/"/>
    </mc:Choice>
  </mc:AlternateContent>
  <xr:revisionPtr revIDLastSave="100" documentId="8_{654DE98A-764F-4A88-A4E6-B9AC51AA348E}" xr6:coauthVersionLast="47" xr6:coauthVersionMax="47" xr10:uidLastSave="{202EF0E9-0955-48A2-9365-B34014E7AED5}"/>
  <bookViews>
    <workbookView xWindow="11424" yWindow="0" windowWidth="11712" windowHeight="12336" xr2:uid="{01D82B6F-FAE5-4974-B74C-C014E4E5CDB1}"/>
  </bookViews>
  <sheets>
    <sheet name="Basic Statistical Functions" sheetId="7" r:id="rId1"/>
    <sheet name="Advanced Statistical Functions" sheetId="14" r:id="rId2"/>
    <sheet name="Basic Conditional Functions" sheetId="4" r:id="rId3"/>
    <sheet name="IF Functions" sheetId="8" r:id="rId4"/>
    <sheet name="Boolean Functions" sheetId="9" r:id="rId5"/>
    <sheet name="Lookup Functions" sheetId="10" r:id="rId6"/>
    <sheet name="Text &amp; Time Functions" sheetId="15" r:id="rId7"/>
    <sheet name="Financial Functions" sheetId="6" r:id="rId8"/>
    <sheet name="Modeling" sheetId="11" r:id="rId9"/>
    <sheet name="Pie Chart" sheetId="12" r:id="rId10"/>
    <sheet name="Stacked Columns" sheetId="13" r:id="rId11"/>
  </sheets>
  <externalReferences>
    <externalReference r:id="rId12"/>
    <externalReference r:id="rId13"/>
    <externalReference r:id="rId14"/>
  </externalReferences>
  <definedNames>
    <definedName name="Advertising_Values">[1]Options!$A$74:$A$76</definedName>
    <definedName name="Choose_the_Correct_Decision_Set">[1]Options!$A$2:$A$5</definedName>
    <definedName name="Goal_Seek_Changing_Values">[1]Options!$A$43:$A$58</definedName>
    <definedName name="Goal_Seek_Selections">[1]Options!$A$8:$A$15</definedName>
    <definedName name="Goal_Seek_To_Values">[1]Options!$A$18:$A$40</definedName>
    <definedName name="Price_Values">[1]Options!$A$79:$A$99</definedName>
    <definedName name="Supplier_Contract_Values">[1]Options!$A$61:$A$71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5" l="1"/>
  <c r="C9" i="15"/>
  <c r="C10" i="15"/>
  <c r="C11" i="15"/>
  <c r="C12" i="15"/>
  <c r="C13" i="15"/>
  <c r="D17" i="15"/>
  <c r="E17" i="15"/>
  <c r="F17" i="15"/>
  <c r="J17" i="15"/>
  <c r="D18" i="15"/>
  <c r="E18" i="15"/>
  <c r="F18" i="15"/>
  <c r="J18" i="15"/>
  <c r="D19" i="15"/>
  <c r="E19" i="15"/>
  <c r="F19" i="15"/>
  <c r="J19" i="15"/>
  <c r="D20" i="15"/>
  <c r="E20" i="15"/>
  <c r="F20" i="15"/>
  <c r="J20" i="15"/>
  <c r="D21" i="15"/>
  <c r="E21" i="15"/>
  <c r="F21" i="15"/>
  <c r="J21" i="15"/>
  <c r="D22" i="15"/>
  <c r="E22" i="15"/>
  <c r="F22" i="15"/>
  <c r="J22" i="15"/>
  <c r="D23" i="15"/>
  <c r="E23" i="15"/>
  <c r="F23" i="15"/>
  <c r="J23" i="15"/>
  <c r="D24" i="15"/>
  <c r="E24" i="15"/>
  <c r="F24" i="15"/>
  <c r="J24" i="15"/>
  <c r="D25" i="15"/>
  <c r="E25" i="15"/>
  <c r="F25" i="15"/>
  <c r="J25" i="15"/>
  <c r="D26" i="15"/>
  <c r="E26" i="15"/>
  <c r="F26" i="15"/>
  <c r="J26" i="15"/>
  <c r="D27" i="15"/>
  <c r="E27" i="15"/>
  <c r="F27" i="15"/>
  <c r="J27" i="15"/>
  <c r="D28" i="15"/>
  <c r="E28" i="15"/>
  <c r="F28" i="15"/>
  <c r="J28" i="15"/>
  <c r="D29" i="15"/>
  <c r="E29" i="15"/>
  <c r="F29" i="15"/>
  <c r="J29" i="15"/>
  <c r="D30" i="15"/>
  <c r="E30" i="15"/>
  <c r="F30" i="15"/>
  <c r="J30" i="15"/>
  <c r="D31" i="15"/>
  <c r="E31" i="15"/>
  <c r="F31" i="15"/>
  <c r="J31" i="15"/>
  <c r="D32" i="15"/>
  <c r="E32" i="15"/>
  <c r="F32" i="15"/>
  <c r="J32" i="15"/>
  <c r="D33" i="15"/>
  <c r="E33" i="15"/>
  <c r="F33" i="15"/>
  <c r="J33" i="15"/>
  <c r="D34" i="15"/>
  <c r="E34" i="15"/>
  <c r="F34" i="15"/>
  <c r="J34" i="15"/>
  <c r="D35" i="15"/>
  <c r="E35" i="15"/>
  <c r="F35" i="15"/>
  <c r="J35" i="15"/>
  <c r="D36" i="15"/>
  <c r="E36" i="15"/>
  <c r="F36" i="15"/>
  <c r="J36" i="15"/>
  <c r="D37" i="15"/>
  <c r="E37" i="15"/>
  <c r="F37" i="15"/>
  <c r="J37" i="15"/>
  <c r="D38" i="15"/>
  <c r="E38" i="15"/>
  <c r="F38" i="15"/>
  <c r="J38" i="15"/>
  <c r="D39" i="15"/>
  <c r="E39" i="15"/>
  <c r="F39" i="15"/>
  <c r="J39" i="15"/>
  <c r="D40" i="15"/>
  <c r="E40" i="15"/>
  <c r="F40" i="15"/>
  <c r="J40" i="15"/>
  <c r="D41" i="15"/>
  <c r="E41" i="15"/>
  <c r="F41" i="15"/>
  <c r="J41" i="15"/>
  <c r="D42" i="15"/>
  <c r="E42" i="15"/>
  <c r="F42" i="15"/>
  <c r="J42" i="15"/>
  <c r="D43" i="15"/>
  <c r="E43" i="15"/>
  <c r="F43" i="15"/>
  <c r="J43" i="15"/>
  <c r="D44" i="15"/>
  <c r="E44" i="15"/>
  <c r="F44" i="15"/>
  <c r="J44" i="15"/>
  <c r="D45" i="15"/>
  <c r="E45" i="15"/>
  <c r="F45" i="15"/>
  <c r="J45" i="15"/>
  <c r="D46" i="15"/>
  <c r="E46" i="15"/>
  <c r="F46" i="15"/>
  <c r="J46" i="15"/>
  <c r="D47" i="15"/>
  <c r="E47" i="15"/>
  <c r="F47" i="15"/>
  <c r="J47" i="15"/>
  <c r="D48" i="15"/>
  <c r="E48" i="15"/>
  <c r="F48" i="15"/>
  <c r="J48" i="15"/>
  <c r="D49" i="15"/>
  <c r="E49" i="15"/>
  <c r="F49" i="15"/>
  <c r="J49" i="15"/>
  <c r="D50" i="15"/>
  <c r="E50" i="15"/>
  <c r="F50" i="15"/>
  <c r="J50" i="15"/>
  <c r="D51" i="15"/>
  <c r="E51" i="15"/>
  <c r="F51" i="15"/>
  <c r="J51" i="15"/>
  <c r="D52" i="15"/>
  <c r="E52" i="15"/>
  <c r="F52" i="15"/>
  <c r="J52" i="15"/>
  <c r="D53" i="15"/>
  <c r="E53" i="15"/>
  <c r="F53" i="15"/>
  <c r="J53" i="15"/>
  <c r="D54" i="15"/>
  <c r="E54" i="15"/>
  <c r="F54" i="15"/>
  <c r="J54" i="15"/>
  <c r="D55" i="15"/>
  <c r="E55" i="15"/>
  <c r="F55" i="15"/>
  <c r="J55" i="15"/>
  <c r="D56" i="15"/>
  <c r="E56" i="15"/>
  <c r="F56" i="15"/>
  <c r="J56" i="15"/>
  <c r="D57" i="15"/>
  <c r="E57" i="15"/>
  <c r="F57" i="15"/>
  <c r="J57" i="15"/>
  <c r="D58" i="15"/>
  <c r="E58" i="15"/>
  <c r="F58" i="15"/>
  <c r="J58" i="15"/>
  <c r="D59" i="15"/>
  <c r="E59" i="15"/>
  <c r="F59" i="15"/>
  <c r="J59" i="15"/>
  <c r="D60" i="15"/>
  <c r="E60" i="15"/>
  <c r="F60" i="15"/>
  <c r="J60" i="15"/>
  <c r="D61" i="15"/>
  <c r="E61" i="15"/>
  <c r="F61" i="15"/>
  <c r="J61" i="15"/>
  <c r="D62" i="15"/>
  <c r="E62" i="15"/>
  <c r="F62" i="15"/>
  <c r="J62" i="15"/>
  <c r="D63" i="15"/>
  <c r="E63" i="15"/>
  <c r="F63" i="15"/>
  <c r="J63" i="15"/>
  <c r="D64" i="15"/>
  <c r="E64" i="15"/>
  <c r="F64" i="15"/>
  <c r="J64" i="15"/>
  <c r="D65" i="15"/>
  <c r="E65" i="15"/>
  <c r="F65" i="15"/>
  <c r="J65" i="15"/>
  <c r="D66" i="15"/>
  <c r="E66" i="15"/>
  <c r="F66" i="15"/>
  <c r="J66" i="15"/>
  <c r="D67" i="15"/>
  <c r="E67" i="15"/>
  <c r="F67" i="15"/>
  <c r="J67" i="15"/>
  <c r="D68" i="15"/>
  <c r="E68" i="15"/>
  <c r="F68" i="15"/>
  <c r="J68" i="15"/>
  <c r="D69" i="15"/>
  <c r="E69" i="15"/>
  <c r="F69" i="15"/>
  <c r="J69" i="15"/>
  <c r="D70" i="15"/>
  <c r="E70" i="15"/>
  <c r="F70" i="15"/>
  <c r="J70" i="15"/>
  <c r="D71" i="15"/>
  <c r="E71" i="15"/>
  <c r="F71" i="15"/>
  <c r="J71" i="15"/>
  <c r="H5" i="14"/>
  <c r="H6" i="14"/>
  <c r="I6" i="14"/>
  <c r="J6" i="14"/>
  <c r="H7" i="14"/>
  <c r="H8" i="14"/>
  <c r="I7" i="14"/>
  <c r="J7" i="14"/>
  <c r="I8" i="14"/>
  <c r="J11" i="14"/>
  <c r="J15" i="14"/>
  <c r="J19" i="14"/>
  <c r="C21" i="13"/>
  <c r="D21" i="13"/>
  <c r="E21" i="13"/>
  <c r="F21" i="13"/>
  <c r="G21" i="13"/>
  <c r="C21" i="12"/>
  <c r="D21" i="12"/>
  <c r="E21" i="12"/>
  <c r="F21" i="12"/>
  <c r="G21" i="12"/>
  <c r="C9" i="11"/>
  <c r="C10" i="11"/>
  <c r="F10" i="11"/>
  <c r="C13" i="11"/>
  <c r="C14" i="11"/>
  <c r="F8" i="11"/>
  <c r="B50" i="11"/>
  <c r="B51" i="11"/>
  <c r="B52" i="11"/>
  <c r="B53" i="11"/>
  <c r="B54" i="11"/>
  <c r="B55" i="11"/>
  <c r="B56" i="11"/>
  <c r="B57" i="11"/>
  <c r="B58" i="11"/>
  <c r="B59" i="11"/>
  <c r="B60" i="11"/>
  <c r="B61" i="11"/>
  <c r="B62" i="11"/>
  <c r="B63" i="11"/>
  <c r="B64" i="11"/>
  <c r="B65" i="11"/>
  <c r="B66" i="11"/>
  <c r="B67" i="11"/>
  <c r="B68" i="11"/>
  <c r="B69" i="11"/>
  <c r="F9" i="10"/>
  <c r="G9" i="10"/>
  <c r="H9" i="10"/>
  <c r="I9" i="10"/>
  <c r="F10" i="10"/>
  <c r="G10" i="10"/>
  <c r="H10" i="10"/>
  <c r="I10" i="10"/>
  <c r="F11" i="10"/>
  <c r="G11" i="10"/>
  <c r="H11" i="10"/>
  <c r="I11" i="10"/>
  <c r="F12" i="10"/>
  <c r="G12" i="10"/>
  <c r="H12" i="10"/>
  <c r="I12" i="10"/>
  <c r="F13" i="10"/>
  <c r="G13" i="10"/>
  <c r="H13" i="10"/>
  <c r="I13" i="10"/>
  <c r="F14" i="10"/>
  <c r="G14" i="10"/>
  <c r="H14" i="10"/>
  <c r="I14" i="10"/>
  <c r="F15" i="10"/>
  <c r="G15" i="10"/>
  <c r="H15" i="10"/>
  <c r="I15" i="10"/>
  <c r="F16" i="10"/>
  <c r="G16" i="10"/>
  <c r="H16" i="10"/>
  <c r="I16" i="10"/>
  <c r="F17" i="10"/>
  <c r="G17" i="10"/>
  <c r="H17" i="10"/>
  <c r="I17" i="10"/>
  <c r="F18" i="10"/>
  <c r="G18" i="10"/>
  <c r="H18" i="10"/>
  <c r="I18" i="10"/>
  <c r="F19" i="10"/>
  <c r="G19" i="10"/>
  <c r="H19" i="10"/>
  <c r="I19" i="10"/>
  <c r="F20" i="10"/>
  <c r="G20" i="10"/>
  <c r="H20" i="10"/>
  <c r="I20" i="10"/>
  <c r="F21" i="10"/>
  <c r="G21" i="10"/>
  <c r="H21" i="10"/>
  <c r="I21" i="10"/>
  <c r="F22" i="10"/>
  <c r="G22" i="10"/>
  <c r="H22" i="10"/>
  <c r="I22" i="10"/>
  <c r="F23" i="10"/>
  <c r="G23" i="10"/>
  <c r="H23" i="10"/>
  <c r="I23" i="10"/>
  <c r="F24" i="10"/>
  <c r="G24" i="10"/>
  <c r="H24" i="10"/>
  <c r="I24" i="10"/>
  <c r="F25" i="10"/>
  <c r="G25" i="10"/>
  <c r="H25" i="10"/>
  <c r="I25" i="10"/>
  <c r="F26" i="10"/>
  <c r="G26" i="10"/>
  <c r="H26" i="10"/>
  <c r="I26" i="10"/>
  <c r="F27" i="10"/>
  <c r="G27" i="10"/>
  <c r="H27" i="10"/>
  <c r="I27" i="10"/>
  <c r="F28" i="10"/>
  <c r="G28" i="10"/>
  <c r="H28" i="10"/>
  <c r="I28" i="10"/>
  <c r="F29" i="10"/>
  <c r="G29" i="10"/>
  <c r="H29" i="10"/>
  <c r="I29" i="10"/>
  <c r="F30" i="10"/>
  <c r="G30" i="10"/>
  <c r="H30" i="10"/>
  <c r="I30" i="10"/>
  <c r="F31" i="10"/>
  <c r="G31" i="10"/>
  <c r="H31" i="10"/>
  <c r="I31" i="10"/>
  <c r="F32" i="10"/>
  <c r="G32" i="10"/>
  <c r="H32" i="10"/>
  <c r="I32" i="10"/>
  <c r="F33" i="10"/>
  <c r="G33" i="10"/>
  <c r="H33" i="10"/>
  <c r="I33" i="10"/>
  <c r="H11" i="9"/>
  <c r="I11" i="9"/>
  <c r="J11" i="9"/>
  <c r="K11" i="9"/>
  <c r="H12" i="9"/>
  <c r="I12" i="9"/>
  <c r="J12" i="9"/>
  <c r="K12" i="9"/>
  <c r="H13" i="9"/>
  <c r="I13" i="9"/>
  <c r="J13" i="9"/>
  <c r="K13" i="9"/>
  <c r="H14" i="9"/>
  <c r="I14" i="9"/>
  <c r="J14" i="9"/>
  <c r="K14" i="9"/>
  <c r="H15" i="9"/>
  <c r="I15" i="9"/>
  <c r="J15" i="9"/>
  <c r="K15" i="9"/>
  <c r="H16" i="9"/>
  <c r="I16" i="9"/>
  <c r="J16" i="9"/>
  <c r="K16" i="9"/>
  <c r="H17" i="9"/>
  <c r="I17" i="9"/>
  <c r="J17" i="9"/>
  <c r="K17" i="9"/>
  <c r="H18" i="9"/>
  <c r="I18" i="9"/>
  <c r="J18" i="9"/>
  <c r="K18" i="9"/>
  <c r="H19" i="9"/>
  <c r="I19" i="9"/>
  <c r="J19" i="9"/>
  <c r="K19" i="9"/>
  <c r="H20" i="9"/>
  <c r="I20" i="9"/>
  <c r="J20" i="9"/>
  <c r="K20" i="9"/>
  <c r="H21" i="9"/>
  <c r="I21" i="9"/>
  <c r="J21" i="9"/>
  <c r="K21" i="9"/>
  <c r="H22" i="9"/>
  <c r="I22" i="9"/>
  <c r="J22" i="9"/>
  <c r="K22" i="9"/>
  <c r="H23" i="9"/>
  <c r="I23" i="9"/>
  <c r="J23" i="9"/>
  <c r="K23" i="9"/>
  <c r="H24" i="9"/>
  <c r="I24" i="9"/>
  <c r="J24" i="9"/>
  <c r="K24" i="9"/>
  <c r="H25" i="9"/>
  <c r="I25" i="9"/>
  <c r="J25" i="9"/>
  <c r="K25" i="9"/>
  <c r="H26" i="9"/>
  <c r="I26" i="9"/>
  <c r="J26" i="9"/>
  <c r="K26" i="9"/>
  <c r="H27" i="9"/>
  <c r="I27" i="9"/>
  <c r="J27" i="9"/>
  <c r="K27" i="9"/>
  <c r="H28" i="9"/>
  <c r="I28" i="9"/>
  <c r="J28" i="9"/>
  <c r="K28" i="9"/>
  <c r="H29" i="9"/>
  <c r="I29" i="9"/>
  <c r="J29" i="9"/>
  <c r="K29" i="9"/>
  <c r="H30" i="9"/>
  <c r="I30" i="9"/>
  <c r="J30" i="9"/>
  <c r="K30" i="9"/>
  <c r="H31" i="9"/>
  <c r="I31" i="9"/>
  <c r="J31" i="9"/>
  <c r="K31" i="9"/>
  <c r="H32" i="9"/>
  <c r="I32" i="9"/>
  <c r="J32" i="9"/>
  <c r="K32" i="9"/>
  <c r="H33" i="9"/>
  <c r="I33" i="9"/>
  <c r="J33" i="9"/>
  <c r="K33" i="9"/>
  <c r="H34" i="9"/>
  <c r="I34" i="9"/>
  <c r="J34" i="9"/>
  <c r="K34" i="9"/>
  <c r="H35" i="9"/>
  <c r="I35" i="9"/>
  <c r="J35" i="9"/>
  <c r="K35" i="9"/>
  <c r="H36" i="9"/>
  <c r="I36" i="9"/>
  <c r="J36" i="9"/>
  <c r="K36" i="9"/>
  <c r="H37" i="9"/>
  <c r="I37" i="9"/>
  <c r="J37" i="9"/>
  <c r="K37" i="9"/>
  <c r="H38" i="9"/>
  <c r="I38" i="9"/>
  <c r="J38" i="9"/>
  <c r="K38" i="9"/>
  <c r="H39" i="9"/>
  <c r="I39" i="9"/>
  <c r="J39" i="9"/>
  <c r="K39" i="9"/>
  <c r="H40" i="9"/>
  <c r="I40" i="9"/>
  <c r="J40" i="9"/>
  <c r="K40" i="9"/>
  <c r="I12" i="8"/>
  <c r="J12" i="8"/>
  <c r="K12" i="8"/>
  <c r="L12" i="8"/>
  <c r="I13" i="8"/>
  <c r="J13" i="8"/>
  <c r="K13" i="8"/>
  <c r="L13" i="8"/>
  <c r="I14" i="8"/>
  <c r="J14" i="8"/>
  <c r="K14" i="8"/>
  <c r="L14" i="8"/>
  <c r="I15" i="8"/>
  <c r="J15" i="8"/>
  <c r="K15" i="8"/>
  <c r="L15" i="8"/>
  <c r="I16" i="8"/>
  <c r="J16" i="8"/>
  <c r="K16" i="8"/>
  <c r="L16" i="8"/>
  <c r="I17" i="8"/>
  <c r="J17" i="8"/>
  <c r="K17" i="8"/>
  <c r="L17" i="8"/>
  <c r="I18" i="8"/>
  <c r="J18" i="8"/>
  <c r="K18" i="8"/>
  <c r="L18" i="8"/>
  <c r="I19" i="8"/>
  <c r="J19" i="8"/>
  <c r="K19" i="8"/>
  <c r="L19" i="8"/>
  <c r="M19" i="8"/>
  <c r="I20" i="8"/>
  <c r="J20" i="8"/>
  <c r="K20" i="8"/>
  <c r="L20" i="8"/>
  <c r="I21" i="8"/>
  <c r="J21" i="8"/>
  <c r="K21" i="8"/>
  <c r="L21" i="8"/>
  <c r="I22" i="8"/>
  <c r="J22" i="8"/>
  <c r="K22" i="8"/>
  <c r="L22" i="8"/>
  <c r="I23" i="8"/>
  <c r="J23" i="8"/>
  <c r="K23" i="8"/>
  <c r="L23" i="8"/>
  <c r="M23" i="8"/>
  <c r="I24" i="8"/>
  <c r="J24" i="8"/>
  <c r="K24" i="8"/>
  <c r="L24" i="8"/>
  <c r="I25" i="8"/>
  <c r="J25" i="8"/>
  <c r="K25" i="8"/>
  <c r="L25" i="8"/>
  <c r="I26" i="8"/>
  <c r="J26" i="8"/>
  <c r="K26" i="8"/>
  <c r="L26" i="8"/>
  <c r="I27" i="8"/>
  <c r="J27" i="8"/>
  <c r="K27" i="8"/>
  <c r="L27" i="8"/>
  <c r="I28" i="8"/>
  <c r="J28" i="8"/>
  <c r="K28" i="8"/>
  <c r="L28" i="8"/>
  <c r="I29" i="8"/>
  <c r="J29" i="8"/>
  <c r="K29" i="8"/>
  <c r="L29" i="8"/>
  <c r="I30" i="8"/>
  <c r="J30" i="8"/>
  <c r="K30" i="8"/>
  <c r="L30" i="8"/>
  <c r="I31" i="8"/>
  <c r="J31" i="8"/>
  <c r="K31" i="8"/>
  <c r="L31" i="8"/>
  <c r="M31" i="8"/>
  <c r="I32" i="8"/>
  <c r="J32" i="8"/>
  <c r="K32" i="8"/>
  <c r="L32" i="8"/>
  <c r="I33" i="8"/>
  <c r="J33" i="8"/>
  <c r="K33" i="8"/>
  <c r="L33" i="8"/>
  <c r="I34" i="8"/>
  <c r="J34" i="8"/>
  <c r="K34" i="8"/>
  <c r="L34" i="8"/>
  <c r="I35" i="8"/>
  <c r="J35" i="8"/>
  <c r="K35" i="8"/>
  <c r="L35" i="8"/>
  <c r="M35" i="8"/>
  <c r="I36" i="8"/>
  <c r="J36" i="8"/>
  <c r="K36" i="8"/>
  <c r="L36" i="8"/>
  <c r="I37" i="8"/>
  <c r="J37" i="8"/>
  <c r="K37" i="8"/>
  <c r="L37" i="8"/>
  <c r="I38" i="8"/>
  <c r="J38" i="8"/>
  <c r="K38" i="8"/>
  <c r="L38" i="8"/>
  <c r="I39" i="8"/>
  <c r="J39" i="8"/>
  <c r="K39" i="8"/>
  <c r="L39" i="8"/>
  <c r="I40" i="8"/>
  <c r="J40" i="8"/>
  <c r="K40" i="8"/>
  <c r="L40" i="8"/>
  <c r="I41" i="8"/>
  <c r="J41" i="8"/>
  <c r="K41" i="8"/>
  <c r="L41" i="8"/>
  <c r="I10" i="7"/>
  <c r="I12" i="7"/>
  <c r="I14" i="7"/>
  <c r="I16" i="7"/>
  <c r="I18" i="7"/>
  <c r="I20" i="7"/>
  <c r="I22" i="7"/>
  <c r="I24" i="7"/>
  <c r="C11" i="6"/>
  <c r="C14" i="6"/>
  <c r="F14" i="6"/>
  <c r="F15" i="6"/>
  <c r="F21" i="6"/>
  <c r="C22" i="6"/>
  <c r="C24" i="6"/>
  <c r="F24" i="6"/>
  <c r="F25" i="6"/>
  <c r="G9" i="4"/>
  <c r="H9" i="4"/>
  <c r="I9" i="4"/>
  <c r="G10" i="4"/>
  <c r="H10" i="4"/>
  <c r="I10" i="4"/>
  <c r="G11" i="4"/>
  <c r="H11" i="4"/>
  <c r="I11" i="4"/>
  <c r="G12" i="4"/>
  <c r="H12" i="4"/>
  <c r="I12" i="4"/>
  <c r="G13" i="4"/>
  <c r="H13" i="4"/>
  <c r="I13" i="4"/>
  <c r="M41" i="8"/>
  <c r="M40" i="8"/>
  <c r="M39" i="8"/>
  <c r="M38" i="8"/>
  <c r="M37" i="8"/>
  <c r="M36" i="8"/>
  <c r="M34" i="8"/>
  <c r="M33" i="8"/>
  <c r="M32" i="8"/>
  <c r="M30" i="8"/>
  <c r="M29" i="8"/>
  <c r="M28" i="8"/>
  <c r="M27" i="8"/>
  <c r="M26" i="8"/>
  <c r="M25" i="8"/>
  <c r="M24" i="8"/>
  <c r="M22" i="8"/>
  <c r="M21" i="8"/>
  <c r="M20" i="8"/>
  <c r="M18" i="8"/>
  <c r="M17" i="8"/>
  <c r="M16" i="8"/>
  <c r="M15" i="8"/>
  <c r="M14" i="8"/>
  <c r="M13" i="8"/>
  <c r="M12" i="8"/>
  <c r="F9" i="11"/>
  <c r="J8" i="14"/>
  <c r="K20" i="15"/>
  <c r="K24" i="15"/>
  <c r="K28" i="15"/>
  <c r="K32" i="15"/>
  <c r="K36" i="15"/>
  <c r="K40" i="15"/>
  <c r="K44" i="15"/>
  <c r="K48" i="15"/>
  <c r="K52" i="15"/>
  <c r="K56" i="15"/>
  <c r="K60" i="15"/>
  <c r="K64" i="15"/>
  <c r="K68" i="15"/>
  <c r="K59" i="15"/>
  <c r="K17" i="15"/>
  <c r="K21" i="15"/>
  <c r="K25" i="15"/>
  <c r="K29" i="15"/>
  <c r="K33" i="15"/>
  <c r="K37" i="15"/>
  <c r="K41" i="15"/>
  <c r="K45" i="15"/>
  <c r="K49" i="15"/>
  <c r="K53" i="15"/>
  <c r="K57" i="15"/>
  <c r="K61" i="15"/>
  <c r="K65" i="15"/>
  <c r="K69" i="15"/>
  <c r="K27" i="15"/>
  <c r="K31" i="15"/>
  <c r="K51" i="15"/>
  <c r="K55" i="15"/>
  <c r="K18" i="15"/>
  <c r="K22" i="15"/>
  <c r="K26" i="15"/>
  <c r="K30" i="15"/>
  <c r="K34" i="15"/>
  <c r="K38" i="15"/>
  <c r="K42" i="15"/>
  <c r="K46" i="15"/>
  <c r="K50" i="15"/>
  <c r="K54" i="15"/>
  <c r="K58" i="15"/>
  <c r="K62" i="15"/>
  <c r="K66" i="15"/>
  <c r="K70" i="15"/>
  <c r="K19" i="15"/>
  <c r="K23" i="15"/>
  <c r="K35" i="15"/>
  <c r="K39" i="15"/>
  <c r="K43" i="15"/>
  <c r="K47" i="15"/>
  <c r="K63" i="15"/>
  <c r="K67" i="15"/>
  <c r="K71" i="15"/>
  <c r="J18" i="14"/>
  <c r="F12" i="11"/>
  <c r="C32" i="11"/>
  <c r="B48" i="11"/>
</calcChain>
</file>

<file path=xl/sharedStrings.xml><?xml version="1.0" encoding="utf-8"?>
<sst xmlns="http://schemas.openxmlformats.org/spreadsheetml/2006/main" count="628" uniqueCount="257">
  <si>
    <t>There are 30 Major League Baselball (MLB) teams. The table below lists the 2010 and 1990 payroll and win totals for each team (notice that four teams were added after the 1990 season). Some MLB fans complain because the league does little to regulate the amount of money teams can pay for salaries. They argue that the teams that spend the most money will win the most games. This would put teams from small markets (that earn less revenue) at a disadvantage. Complete the tasks by inserting your formulas (or responses) in column I for each task. Are small market teams at a disadvantage?</t>
  </si>
  <si>
    <t>Major League Baseball Salaries by Team</t>
  </si>
  <si>
    <t>Statistical Functions</t>
  </si>
  <si>
    <t>DIVISION</t>
  </si>
  <si>
    <t>TEAM</t>
  </si>
  <si>
    <t>2010 PAYROLL</t>
  </si>
  <si>
    <t>1990 PAYROLL</t>
  </si>
  <si>
    <t>2010 WINS</t>
  </si>
  <si>
    <t>1990 Wins</t>
  </si>
  <si>
    <t>Response</t>
  </si>
  <si>
    <t>Task</t>
  </si>
  <si>
    <t>AL East</t>
  </si>
  <si>
    <t>Baltimore Orioles</t>
  </si>
  <si>
    <t>Number of MLB Teams in 1990</t>
  </si>
  <si>
    <t>Boston Red Sox</t>
  </si>
  <si>
    <t>New York Yankees</t>
  </si>
  <si>
    <t>Number of MLB teams in 2010</t>
  </si>
  <si>
    <t>Tampa Bay Rays</t>
  </si>
  <si>
    <t>NA</t>
  </si>
  <si>
    <t>Toronto Blue Jays</t>
  </si>
  <si>
    <t>Total salaries paid in 1990.</t>
  </si>
  <si>
    <t>AL Central</t>
  </si>
  <si>
    <t>Chicago White Sox</t>
  </si>
  <si>
    <t>Cleveland Indians</t>
  </si>
  <si>
    <t>Total salaries paid in 2010.</t>
  </si>
  <si>
    <t>Detroit Tigers</t>
  </si>
  <si>
    <t>Kansas City Royals</t>
  </si>
  <si>
    <t>Average salary paid by the teams in 1990.</t>
  </si>
  <si>
    <t>Minnesota Twins</t>
  </si>
  <si>
    <t>AL West</t>
  </si>
  <si>
    <t>Los Angeles Angels</t>
  </si>
  <si>
    <t>Average salary paid by the teams in 2010.</t>
  </si>
  <si>
    <t>Oakland Athletics</t>
  </si>
  <si>
    <t>Seattle Mariners</t>
  </si>
  <si>
    <t>Maximum team salary amount in 1990.</t>
  </si>
  <si>
    <t>Texas Rangers</t>
  </si>
  <si>
    <t>NL East</t>
  </si>
  <si>
    <t>Atlanta Braves</t>
  </si>
  <si>
    <t>Minimum team salary amount in 2010.</t>
  </si>
  <si>
    <t>Florida Marlins</t>
  </si>
  <si>
    <t>New York Mets</t>
  </si>
  <si>
    <t>Philadelphia Phillies</t>
  </si>
  <si>
    <t>Washington Nationals*</t>
  </si>
  <si>
    <t>NL Central</t>
  </si>
  <si>
    <t>Chicago Cubs</t>
  </si>
  <si>
    <t>Cincinnati Reds</t>
  </si>
  <si>
    <t>Houston Astros</t>
  </si>
  <si>
    <t>Milwaukee Brewers</t>
  </si>
  <si>
    <t>Pittsburgh Pirates</t>
  </si>
  <si>
    <t>St. Louis Cardinals</t>
  </si>
  <si>
    <t>NL West</t>
  </si>
  <si>
    <t>Arizona Diamondbacks</t>
  </si>
  <si>
    <t>Colorado Rockies</t>
  </si>
  <si>
    <t>Los Angeles Dodgers</t>
  </si>
  <si>
    <t>San Diego Padres</t>
  </si>
  <si>
    <t>San Francisco Giants</t>
  </si>
  <si>
    <t>* The Washington Nationals were the Montreal Expos in 1990</t>
  </si>
  <si>
    <t>NA = The team did not exist in 1990</t>
  </si>
  <si>
    <t>Survey of Men's Weight and Height</t>
  </si>
  <si>
    <t>Summary Statistics</t>
  </si>
  <si>
    <t>Subject</t>
  </si>
  <si>
    <t>Weight</t>
  </si>
  <si>
    <t>Height</t>
  </si>
  <si>
    <t>BMI</t>
  </si>
  <si>
    <t>Count</t>
  </si>
  <si>
    <t>Average</t>
  </si>
  <si>
    <t>Standard*</t>
  </si>
  <si>
    <t>95% CI**</t>
  </si>
  <si>
    <t>Correlation</t>
  </si>
  <si>
    <t>Correlation coefficient ---&gt;</t>
  </si>
  <si>
    <t>Forecast</t>
  </si>
  <si>
    <t>Jim's Height (in inches) ---&gt;</t>
  </si>
  <si>
    <t>Predict Jim's Weight ---&gt;</t>
  </si>
  <si>
    <t>Forecast Confidence Interval</t>
  </si>
  <si>
    <t>Lower Weight Bound ---&gt;</t>
  </si>
  <si>
    <t>Upper Weight Bound ---&gt;</t>
  </si>
  <si>
    <t>* Note: the STDEV.S function is not available in Excel 2007. If you are using Excel 2007, use the STDEV funtion instead.</t>
  </si>
  <si>
    <t>** Note: the CONFIDENCE.NORM function is not available in Excel 2007. If you are using Excel 2007, use the CONFIDENCE function instead.</t>
  </si>
  <si>
    <t>Clotheshorse, Inc. is a popular clothing store chain that specializes in teen and pre-teen fashions. They have stores in five locations: Lehi, American Fork (AF), Pleasant Grove (PG), Orem, and Provo. The "Transaction Details" table below contains a "Sale ID", "Location", and "Sale Amount" for some transactions from each store. Complete the "Sales Summary" table to compare the sales in each store.</t>
  </si>
  <si>
    <t>Transaction Details</t>
  </si>
  <si>
    <t>Sales Summary</t>
  </si>
  <si>
    <t>Sale ID</t>
  </si>
  <si>
    <t>Location</t>
  </si>
  <si>
    <t>Sale Amount</t>
  </si>
  <si>
    <t># of Transactions</t>
  </si>
  <si>
    <t>Total Sales</t>
  </si>
  <si>
    <t>Average Sale Amount</t>
  </si>
  <si>
    <t>PG</t>
  </si>
  <si>
    <t>Lehi</t>
  </si>
  <si>
    <t>AF</t>
  </si>
  <si>
    <t>Orem</t>
  </si>
  <si>
    <t>Provo</t>
  </si>
  <si>
    <t>Happy Homes Credit Union specializes in providing mortgage loans. The table below details information about a number of recent loan applications. The table lists the social security number and credit score of each applicant. It also details the amount of the loan requested, the ratio of the projected mortgage payment to the applicant's annual income, and the down payment the applicant plans to make on the loan.  There are three criteria that must be satisfied for a loan to be approved. First, the projected monthly mortgage amount must be less than 43% of the applicant's monthly gross income. Second, the down payment amount must be at least 10% of the loan amount (it can be greater than 5% if the PMT/Income ratio is below 40%). Finally, the applicant's credit score cannot be below a threshold level. Happy Homes offers a discounted interest rate to any customer who has a savings account with the credit union or is willing to have their mortgage payment paid automatically every month. The table lists whether the applicant currently has a savings account with the credit union or if they are willing to have the payment automatically deducted each month. Complete the "PMT OK?", "Down OK?", "Score OK?", "Approved?", and "Discount?" columns to determine if each loan application is approved and if the applicant qualifies for a discounted interest rate. In all cases, reference approprate cells.</t>
  </si>
  <si>
    <t>Threshold Credit Score</t>
  </si>
  <si>
    <t>Applicant</t>
  </si>
  <si>
    <t>Credit Score</t>
  </si>
  <si>
    <t>Loan Amount</t>
  </si>
  <si>
    <t>PMT/Income</t>
  </si>
  <si>
    <t>Down Payment</t>
  </si>
  <si>
    <t>Savings Account</t>
  </si>
  <si>
    <t>AutoPay?</t>
  </si>
  <si>
    <t>PMT OK?</t>
  </si>
  <si>
    <t>Score OK?</t>
  </si>
  <si>
    <t>Down OK?</t>
  </si>
  <si>
    <t>Discount?</t>
  </si>
  <si>
    <t>Approved?</t>
  </si>
  <si>
    <t>108-95-6833</t>
  </si>
  <si>
    <t>Yes</t>
  </si>
  <si>
    <t>No</t>
  </si>
  <si>
    <t>427-78-9221</t>
  </si>
  <si>
    <t>663-30-1549</t>
  </si>
  <si>
    <t>965-75-9201</t>
  </si>
  <si>
    <t>954-32-4100</t>
  </si>
  <si>
    <t>950-50-7544</t>
  </si>
  <si>
    <t>399-33-4698</t>
  </si>
  <si>
    <t>486-66-2868</t>
  </si>
  <si>
    <t>627-90-4115</t>
  </si>
  <si>
    <t>444-96-4839</t>
  </si>
  <si>
    <t>448-91-9215</t>
  </si>
  <si>
    <t>829-61-8895</t>
  </si>
  <si>
    <t>851-82-2783</t>
  </si>
  <si>
    <t>318-52-7960</t>
  </si>
  <si>
    <t>718-31-6886</t>
  </si>
  <si>
    <t>863-21-8561</t>
  </si>
  <si>
    <t>516-14-4871</t>
  </si>
  <si>
    <t>114-94-8347</t>
  </si>
  <si>
    <t>325-95-5596</t>
  </si>
  <si>
    <t>696-14-9890</t>
  </si>
  <si>
    <t>292-25-3863</t>
  </si>
  <si>
    <t>600-68-2551</t>
  </si>
  <si>
    <t>169-92-2691</t>
  </si>
  <si>
    <t>586-35-2423</t>
  </si>
  <si>
    <t>263-76-3025</t>
  </si>
  <si>
    <t>647-28-9552</t>
  </si>
  <si>
    <t>740-99-2570</t>
  </si>
  <si>
    <t>346-45-9618</t>
  </si>
  <si>
    <t>114-80-5364</t>
  </si>
  <si>
    <t>713-78-4199</t>
  </si>
  <si>
    <t>An infield fly in baseball is called to prevent the defense from recording an easy double play. When an infield fly occurs, the batter is automatically out once the ball is touched by a fielder or hits the ground and the baserunners must go back to their bases (though they may "tag up" if they wish). An infield fly occurs when the following conditions are met: (1) there is a force out at third base (this means that there are runners on first base and second base), (2) there are not two outs, and (3) the batter hits a catchable fly ball to the infield or the shallow outfield. The table below highlights 30 baseball scenarios. Complete the tasks below to determine if the umpire should declare an infield fly.</t>
  </si>
  <si>
    <t>Catchable Fly Ball Hit to…</t>
  </si>
  <si>
    <t>Scenario</t>
  </si>
  <si>
    <t>Runner on 1st</t>
  </si>
  <si>
    <t>Runner on 2nd</t>
  </si>
  <si>
    <t>Infield</t>
  </si>
  <si>
    <t>Shallow Outfield</t>
  </si>
  <si>
    <t>Outs</t>
  </si>
  <si>
    <t>Force @ Third</t>
  </si>
  <si>
    <t>Fly Ball</t>
  </si>
  <si>
    <t>Not 2 Outs</t>
  </si>
  <si>
    <t>Infield Fly</t>
  </si>
  <si>
    <t>Built-tough Boards sells outside bulletin boards used to display community information on the outside of buildings. They sell blue and red bulletin boards which they will deliver regionally up to 1000 miles. While they offer a discount for purchasing in bulk, they require customers to buy at least two bulletin boards at a time. The table below lists 25 recent sales. Each order lists the color of the boards ordered, the number to be shipped with the order, and the distance of the delivery in miles. Complete the table by using the VLOOKUP and HLOOKUP functions in Excel to calculate the number of days it will take for delivery, the delivery price, and the price of the signs for each order.</t>
  </si>
  <si>
    <t>Order #</t>
  </si>
  <si>
    <t>Color</t>
  </si>
  <si>
    <t># Shipped</t>
  </si>
  <si>
    <t>Distance</t>
  </si>
  <si>
    <t># Days</t>
  </si>
  <si>
    <t>Delivery</t>
  </si>
  <si>
    <t>Price</t>
  </si>
  <si>
    <t>Total</t>
  </si>
  <si>
    <t>Delivery Information</t>
  </si>
  <si>
    <t>Product Pricing</t>
  </si>
  <si>
    <t>Red</t>
  </si>
  <si>
    <t>Miles</t>
  </si>
  <si>
    <t>Blue</t>
  </si>
  <si>
    <r>
      <rPr>
        <b/>
        <sz val="11"/>
        <color theme="1"/>
        <rFont val="Calibri"/>
        <family val="2"/>
        <scheme val="minor"/>
      </rPr>
      <t>Hint on Task 5.</t>
    </r>
    <r>
      <rPr>
        <sz val="11"/>
        <color theme="1"/>
        <rFont val="Calibri"/>
        <family val="2"/>
        <scheme val="minor"/>
      </rPr>
      <t xml:space="preserve"> Task 5 is extremely difficult, but it drives how to use HLOOKUP (and VLOOKUP for that matter). Use the billboard color as your "lookup_value". The "lookup_value" is used to find a match on the lookup table. The "table_array" must start in row 9 because that is where "Blue" and "Red" are located. When using HLOOKUP, Excel always looks for a match to the "lookup_value" in the first row of the "table_array". The "row_index_number" is the row of the "table_array" from which you return the appropriate pricing. In this case, the lookup table is arranged so that the row number of the table corresponds with the quantity shipped (the price for buying 2 billboards is on the second row of the reference table). Therefore, you can use the "# Ordered" from the information you have on the table as the "row_index_number".</t>
    </r>
  </si>
  <si>
    <t>You are responsible for monitoring employees entry into your company's server room. To complete this task, you review a log of when employees entered the room. The log is a little bit difficult to read. It contains an employee number (column B) and a computer generated stamp that records when the employee swipped their ID card to enter the room (column C). Use time and text functions to complete the tasks below. Ultimately you want to create the "Text Stamp" in column K that completes the phrase, "Employee number # entered the server room at HH:MM:SS today." for each row of the log. You will replace "#" with the employee number and "HH:MM:SS" with the appropriate time stamp.</t>
  </si>
  <si>
    <t>Text Stamp Phrase:</t>
  </si>
  <si>
    <t>Employee number # entered the server room at HH:MM:SS today.</t>
  </si>
  <si>
    <t>Phrase length:</t>
  </si>
  <si>
    <t>Location of "#"</t>
  </si>
  <si>
    <t>Hint: Tasks 1-6 will manipulate the "Text Stamp Phrase" in cell C7 so that the completed phrase can be entered in the table below.</t>
  </si>
  <si>
    <t>Phrase Part 1</t>
  </si>
  <si>
    <t>Location of " HH"</t>
  </si>
  <si>
    <t>Phrase Part 2</t>
  </si>
  <si>
    <t>Phrase Part 3</t>
  </si>
  <si>
    <t>2 Decimal Equivalents</t>
  </si>
  <si>
    <t>Employee</t>
  </si>
  <si>
    <t>Entry Swipe</t>
  </si>
  <si>
    <t>Hour</t>
  </si>
  <si>
    <t>Minute</t>
  </si>
  <si>
    <t>Second</t>
  </si>
  <si>
    <t>Time Stamp</t>
  </si>
  <si>
    <t>Text Stamp</t>
  </si>
  <si>
    <t>00</t>
  </si>
  <si>
    <t>02</t>
  </si>
  <si>
    <t>01</t>
  </si>
  <si>
    <t>03</t>
  </si>
  <si>
    <t>08</t>
  </si>
  <si>
    <t>04</t>
  </si>
  <si>
    <t>05</t>
  </si>
  <si>
    <t>06</t>
  </si>
  <si>
    <t>09</t>
  </si>
  <si>
    <t>You are interested in buying a car (who wants to stay home all of the time?). You have found the car that you really want so you sit down with the salesperson to discuss financing. You know that some dealerships prey on naive students so you worry that the salesperson may try to slip in some extra costs without your knowledge. Use the PMT, RATE, EFFECT, NPER, PV, and FV functions to make sure that you are getting the best deal on your car loan by working through the following scenarios.</t>
  </si>
  <si>
    <t>Scenario 1</t>
  </si>
  <si>
    <t>Scenario 2</t>
  </si>
  <si>
    <t>Interest Rate</t>
  </si>
  <si>
    <t>Number of Payments</t>
  </si>
  <si>
    <t>Monthly Payment Amount</t>
  </si>
  <si>
    <t>*Note: you will need to divide the interest rate by 12 in your function to make it a monthly rate.</t>
  </si>
  <si>
    <t>Effective Annual Interest Rate</t>
  </si>
  <si>
    <t>Scenario 3</t>
  </si>
  <si>
    <t xml:space="preserve">Scenario 4 </t>
  </si>
  <si>
    <t>Savings per Month</t>
  </si>
  <si>
    <t>Number of Months</t>
  </si>
  <si>
    <t>Future Account Balance</t>
  </si>
  <si>
    <t>Total Gas Money Saved</t>
  </si>
  <si>
    <t>Decisions to be Made</t>
  </si>
  <si>
    <t>Market Information</t>
  </si>
  <si>
    <t>Introducing the new, smaller eTablet to market</t>
  </si>
  <si>
    <t>Competitor Pricing</t>
  </si>
  <si>
    <t>You work on the new product development team for your company's new tablet computer offering, a smaller version of your wildly popular eTablet line. You have been given the task of determining three important decisions for this new product. First, you have been asked to determine the price for this product. Pricing is a tricky decision. You don't want to price the new tablet too high because few customers will choose the new product over your full-sized tablet offerings and you risk losing sales to your aggressively priced competitors' products. You don't want to price the product too low, because you want to earn as much revenue as possible from the product. Second, you must determine where to set the marketing budget for the new product. You know that there will be a base demand for your product that comes from your loyal customers who will buy just about anything you produce. Beyond that you also know that every dollar you spend on advertising will increase the demand for your product. Of course, there is a limit to how much money you will want to spend on advertising because eventually more money spent on advertising will have little effect on demand and will reduce the profitability of the new product. Finally, you have been asked to help decide how much money to prepay to the suppliers of the raw materials of the new product to reduce the overall costs of these materials. Every dollar you spend on prepaying your suppliers will reduce the costs of these materials and will ensure that your competitors don't have access to these materials. You have completed a spreadsheet model to aid in your analysis. Use the 'What If Analysis' options in Excel to help you determine the right price, advertising spending, and prepaid supplier contract for your new product.</t>
  </si>
  <si>
    <t>Supplier Contract</t>
  </si>
  <si>
    <t>Base Demand</t>
  </si>
  <si>
    <t>Advertising Budget</t>
  </si>
  <si>
    <t>Market Size</t>
  </si>
  <si>
    <t xml:space="preserve"> Variable Cost Calculations</t>
  </si>
  <si>
    <t>Profitability</t>
  </si>
  <si>
    <t>Variable Production Costs</t>
  </si>
  <si>
    <t>Total Revenue</t>
  </si>
  <si>
    <t>Prepaid Discount Amount</t>
  </si>
  <si>
    <t>(-) Total Variable Costs</t>
  </si>
  <si>
    <t>Adjusted Variable Costs</t>
  </si>
  <si>
    <t>(-) Total Fixed Costs</t>
  </si>
  <si>
    <t>Demand Calculations</t>
  </si>
  <si>
    <t>Total Profit</t>
  </si>
  <si>
    <t>Price Demand Factor</t>
  </si>
  <si>
    <t>Total Demand</t>
  </si>
  <si>
    <t>Which Scenario is most profitable?</t>
  </si>
  <si>
    <t>Decision Set 3</t>
  </si>
  <si>
    <t>Goal Seek Parameters and Results</t>
  </si>
  <si>
    <t>Set Cell</t>
  </si>
  <si>
    <t>$C$14</t>
  </si>
  <si>
    <t>To Value</t>
  </si>
  <si>
    <t>By Changing Cell</t>
  </si>
  <si>
    <t>$C$3</t>
  </si>
  <si>
    <t>Resulting Price?</t>
  </si>
  <si>
    <t>Supplier Contract and Profitability</t>
  </si>
  <si>
    <t>Optimal Supplier Contract?</t>
  </si>
  <si>
    <t>How much should they spend on advertising?</t>
  </si>
  <si>
    <t>Where should they set their price?</t>
  </si>
  <si>
    <t>The table below contains rainfall information in inches for each month of the years 2006 - 2010. Complete the task to contruct a pie chart using the data.</t>
  </si>
  <si>
    <t>Year</t>
  </si>
  <si>
    <t>Month</t>
  </si>
  <si>
    <t>January</t>
  </si>
  <si>
    <t>February</t>
  </si>
  <si>
    <t>March</t>
  </si>
  <si>
    <t>April</t>
  </si>
  <si>
    <t>May</t>
  </si>
  <si>
    <t>June</t>
  </si>
  <si>
    <t>July</t>
  </si>
  <si>
    <t>August</t>
  </si>
  <si>
    <t>September</t>
  </si>
  <si>
    <t>October</t>
  </si>
  <si>
    <t>November</t>
  </si>
  <si>
    <t>December</t>
  </si>
  <si>
    <t>Total Rainfall</t>
  </si>
  <si>
    <t>The table below contains rainfall information in inches for each month of the years 2006 - 2010. Complete the task to contruct a column chart using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</si>
</sst>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quot;$&quot;#,##0"/>
    <numFmt numFmtId="166" formatCode="_(* #,##0_);_(* \(#,##0\);_(* &quot;-&quot;??_);_(@_)"/>
    <numFmt numFmtId="167" formatCode="&quot;$&quot;#,##0.00000_);[Red]\(&quot;$&quot;#,##0.0000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
      <sz val="10"/>
      <color theme="1"/>
      <name val="Calibri"/>
      <family val="2"/>
      <scheme val="minor"/>
    </font>
    <font>
      <i/>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2"/>
        <bgColor rgb="FF004965"/>
      </patternFill>
    </fill>
    <fill>
      <patternFill patternType="solid">
        <fgColor theme="3" tint="0.59999389629810485"/>
        <bgColor rgb="FF004965"/>
      </patternFill>
    </fill>
    <fill>
      <patternFill patternType="solid">
        <fgColor theme="0"/>
        <bgColor rgb="FF004965"/>
      </patternFill>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style="hair">
        <color theme="0" tint="-0.34998626667073579"/>
      </left>
      <right style="hair">
        <color theme="0" tint="-0.34998626667073579"/>
      </right>
      <top style="hair">
        <color indexed="64"/>
      </top>
      <bottom style="hair">
        <color auto="1"/>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theme="0" tint="-0.24994659260841701"/>
      </right>
      <top style="thin">
        <color theme="0" tint="-0.24994659260841701"/>
      </top>
      <bottom style="medium">
        <color indexed="64"/>
      </bottom>
      <diagonal/>
    </border>
    <border>
      <left style="medium">
        <color indexed="64"/>
      </left>
      <right style="thin">
        <color theme="0" tint="-0.24994659260841701"/>
      </right>
      <top style="thin">
        <color theme="0" tint="-0.24994659260841701"/>
      </top>
      <bottom style="thin">
        <color theme="0" tint="-0.24994659260841701"/>
      </bottom>
      <diagonal/>
    </border>
    <border>
      <left/>
      <right style="medium">
        <color indexed="64"/>
      </right>
      <top style="thin">
        <color indexed="64"/>
      </top>
      <bottom style="hair">
        <color indexed="64"/>
      </bottom>
      <diagonal/>
    </border>
    <border>
      <left/>
      <right/>
      <top style="thin">
        <color indexed="64"/>
      </top>
      <bottom style="hair">
        <color indexed="64"/>
      </bottom>
      <diagonal/>
    </border>
    <border>
      <left style="medium">
        <color indexed="64"/>
      </left>
      <right/>
      <top style="thin">
        <color indexed="64"/>
      </top>
      <bottom style="hair">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theme="0" tint="-0.34998626667073579"/>
      </left>
      <right style="thin">
        <color theme="0" tint="-0.34998626667073579"/>
      </right>
      <top style="hair">
        <color indexed="64"/>
      </top>
      <bottom style="hair">
        <color indexed="64"/>
      </bottom>
      <diagonal/>
    </border>
    <border>
      <left style="thin">
        <color theme="0" tint="-0.34998626667073579"/>
      </left>
      <right style="medium">
        <color indexed="64"/>
      </right>
      <top/>
      <bottom style="hair">
        <color auto="1"/>
      </bottom>
      <diagonal/>
    </border>
    <border>
      <left style="thin">
        <color theme="0" tint="-0.34998626667073579"/>
      </left>
      <right style="thin">
        <color theme="0" tint="-0.34998626667073579"/>
      </right>
      <top/>
      <bottom style="hair">
        <color auto="1"/>
      </bottom>
      <diagonal/>
    </border>
    <border>
      <left/>
      <right style="medium">
        <color indexed="64"/>
      </right>
      <top style="hair">
        <color indexed="64"/>
      </top>
      <bottom style="medium">
        <color indexed="64"/>
      </bottom>
      <diagonal/>
    </border>
    <border>
      <left/>
      <right/>
      <top style="hair">
        <color indexed="64"/>
      </top>
      <bottom style="medium">
        <color indexed="64"/>
      </bottom>
      <diagonal/>
    </border>
    <border>
      <left style="medium">
        <color indexed="64"/>
      </left>
      <right/>
      <top style="hair">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medium">
        <color indexed="64"/>
      </right>
      <top/>
      <bottom style="hair">
        <color auto="1"/>
      </bottom>
      <diagonal/>
    </border>
    <border>
      <left style="medium">
        <color indexed="64"/>
      </left>
      <right/>
      <top/>
      <bottom style="hair">
        <color indexed="64"/>
      </bottom>
      <diagonal/>
    </border>
    <border>
      <left style="thin">
        <color theme="0" tint="-0.34998626667073579"/>
      </left>
      <right style="medium">
        <color indexed="64"/>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thin">
        <color theme="0" tint="-0.34998626667073579"/>
      </bottom>
      <diagonal/>
    </border>
    <border>
      <left style="thin">
        <color theme="0" tint="-0.34998626667073579"/>
      </left>
      <right style="medium">
        <color indexed="64"/>
      </right>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right style="medium">
        <color indexed="64"/>
      </right>
      <top/>
      <bottom style="double">
        <color indexed="64"/>
      </bottom>
      <diagonal/>
    </border>
    <border>
      <left/>
      <right style="medium">
        <color indexed="64"/>
      </right>
      <top style="dotted">
        <color indexed="64"/>
      </top>
      <bottom style="medium">
        <color indexed="64"/>
      </bottom>
      <diagonal/>
    </border>
    <border>
      <left/>
      <right/>
      <top style="dotted">
        <color indexed="64"/>
      </top>
      <bottom style="medium">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medium">
        <color indexed="64"/>
      </left>
      <right/>
      <top style="dotted">
        <color indexed="64"/>
      </top>
      <bottom style="dotted">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medium">
        <color indexed="64"/>
      </right>
      <top/>
      <bottom style="dotted">
        <color indexed="64"/>
      </bottom>
      <diagonal/>
    </border>
    <border>
      <left/>
      <right/>
      <top/>
      <bottom style="dotted">
        <color indexed="64"/>
      </bottom>
      <diagonal/>
    </border>
    <border>
      <left style="medium">
        <color indexed="64"/>
      </left>
      <right/>
      <top/>
      <bottom style="dotted">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214">
    <xf numFmtId="0" fontId="0" fillId="0" borderId="0" xfId="0"/>
    <xf numFmtId="0" fontId="1" fillId="0" borderId="0" xfId="0" applyFont="1"/>
    <xf numFmtId="0" fontId="0" fillId="0" borderId="0" xfId="0" applyAlignment="1">
      <alignment horizontal="center"/>
    </xf>
    <xf numFmtId="2" fontId="0" fillId="0" borderId="0" xfId="0" applyNumberFormat="1"/>
    <xf numFmtId="164" fontId="0" fillId="0" borderId="2" xfId="0" applyNumberFormat="1" applyBorder="1" applyAlignment="1">
      <alignment horizontal="center"/>
    </xf>
    <xf numFmtId="0" fontId="0" fillId="0" borderId="2" xfId="0" applyBorder="1" applyAlignment="1">
      <alignment horizontal="center"/>
    </xf>
    <xf numFmtId="164" fontId="0" fillId="2" borderId="3" xfId="0" applyNumberFormat="1" applyFill="1" applyBorder="1" applyAlignment="1">
      <alignment horizontal="center"/>
    </xf>
    <xf numFmtId="0" fontId="0" fillId="2" borderId="3" xfId="0" applyFill="1" applyBorder="1" applyAlignment="1">
      <alignment horizontal="center"/>
    </xf>
    <xf numFmtId="0" fontId="0" fillId="0" borderId="2" xfId="0" applyBorder="1"/>
    <xf numFmtId="0" fontId="0" fillId="0" borderId="4" xfId="0" applyBorder="1"/>
    <xf numFmtId="164" fontId="0" fillId="0" borderId="4" xfId="0" applyNumberFormat="1" applyBorder="1" applyAlignment="1">
      <alignment horizontal="center"/>
    </xf>
    <xf numFmtId="0" fontId="0" fillId="0" borderId="4" xfId="0"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1" fillId="3" borderId="6" xfId="0" applyFont="1" applyFill="1" applyBorder="1" applyAlignment="1">
      <alignment horizontal="center"/>
    </xf>
    <xf numFmtId="0" fontId="0" fillId="0" borderId="0" xfId="0" quotePrefix="1"/>
    <xf numFmtId="8" fontId="0" fillId="0" borderId="0" xfId="0" applyNumberFormat="1"/>
    <xf numFmtId="8" fontId="0" fillId="2" borderId="18" xfId="0" applyNumberFormat="1" applyFill="1" applyBorder="1"/>
    <xf numFmtId="2" fontId="0" fillId="2" borderId="18" xfId="0" applyNumberFormat="1" applyFill="1" applyBorder="1"/>
    <xf numFmtId="10" fontId="0" fillId="0" borderId="0" xfId="0" applyNumberFormat="1"/>
    <xf numFmtId="164" fontId="0" fillId="0" borderId="0" xfId="2" applyNumberFormat="1" applyFont="1" applyAlignment="1">
      <alignment horizontal="right"/>
    </xf>
    <xf numFmtId="10" fontId="0" fillId="2" borderId="18" xfId="0" applyNumberFormat="1" applyFill="1" applyBorder="1"/>
    <xf numFmtId="0" fontId="0" fillId="0" borderId="0" xfId="0" applyAlignment="1">
      <alignment horizontal="right"/>
    </xf>
    <xf numFmtId="10" fontId="0" fillId="0" borderId="0" xfId="0" applyNumberFormat="1" applyAlignment="1">
      <alignment horizontal="right"/>
    </xf>
    <xf numFmtId="8" fontId="0" fillId="0" borderId="0" xfId="0" applyNumberFormat="1" applyAlignment="1">
      <alignment horizontal="righ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4" borderId="19" xfId="0" applyFill="1" applyBorder="1" applyAlignment="1">
      <alignment horizontal="center"/>
    </xf>
    <xf numFmtId="0" fontId="0" fillId="4" borderId="2" xfId="0" applyFill="1" applyBorder="1" applyAlignment="1">
      <alignment horizontal="center"/>
    </xf>
    <xf numFmtId="165" fontId="0" fillId="4" borderId="2" xfId="0" applyNumberFormat="1" applyFill="1" applyBorder="1"/>
    <xf numFmtId="0" fontId="0" fillId="4" borderId="2" xfId="0" applyFill="1" applyBorder="1"/>
    <xf numFmtId="0" fontId="0" fillId="4" borderId="20" xfId="0" applyFill="1" applyBorder="1"/>
    <xf numFmtId="165" fontId="0" fillId="4" borderId="19" xfId="0" applyNumberFormat="1" applyFill="1" applyBorder="1" applyAlignment="1">
      <alignment horizontal="center"/>
    </xf>
    <xf numFmtId="165" fontId="0" fillId="4" borderId="2" xfId="0" applyNumberFormat="1" applyFill="1" applyBorder="1" applyAlignment="1">
      <alignment horizontal="center"/>
    </xf>
    <xf numFmtId="165" fontId="0" fillId="0" borderId="0" xfId="0" applyNumberFormat="1" applyAlignment="1">
      <alignment horizontal="center"/>
    </xf>
    <xf numFmtId="165" fontId="0" fillId="2" borderId="21" xfId="0" applyNumberFormat="1" applyFill="1" applyBorder="1"/>
    <xf numFmtId="165" fontId="0" fillId="2" borderId="22" xfId="0" applyNumberFormat="1" applyFill="1" applyBorder="1"/>
    <xf numFmtId="0" fontId="0" fillId="2" borderId="22" xfId="0" applyFill="1" applyBorder="1"/>
    <xf numFmtId="0" fontId="0" fillId="4" borderId="23" xfId="0" applyFill="1" applyBorder="1" applyAlignment="1">
      <alignment horizontal="center"/>
    </xf>
    <xf numFmtId="0" fontId="0" fillId="4" borderId="24" xfId="0" applyFill="1" applyBorder="1" applyAlignment="1">
      <alignment horizontal="center"/>
    </xf>
    <xf numFmtId="165" fontId="0" fillId="4" borderId="24" xfId="0" applyNumberFormat="1" applyFill="1" applyBorder="1"/>
    <xf numFmtId="0" fontId="0" fillId="4" borderId="24" xfId="0" applyFill="1" applyBorder="1"/>
    <xf numFmtId="0" fontId="0" fillId="4" borderId="25" xfId="0" applyFill="1" applyBorder="1"/>
    <xf numFmtId="0" fontId="1" fillId="0" borderId="13" xfId="0" applyFont="1" applyBorder="1" applyAlignment="1">
      <alignment horizontal="center"/>
    </xf>
    <xf numFmtId="0" fontId="1" fillId="0" borderId="14"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165" fontId="0" fillId="0" borderId="0" xfId="0" applyNumberFormat="1"/>
    <xf numFmtId="0" fontId="0" fillId="2" borderId="32" xfId="0" applyFill="1" applyBorder="1" applyAlignment="1">
      <alignment horizontal="center"/>
    </xf>
    <xf numFmtId="165" fontId="0" fillId="0" borderId="2" xfId="0" applyNumberFormat="1" applyBorder="1" applyAlignment="1">
      <alignment horizontal="center"/>
    </xf>
    <xf numFmtId="9" fontId="0" fillId="0" borderId="2" xfId="3" applyFont="1" applyBorder="1" applyAlignment="1">
      <alignment horizontal="center"/>
    </xf>
    <xf numFmtId="165" fontId="0" fillId="0" borderId="2" xfId="2" applyNumberFormat="1" applyFont="1" applyBorder="1" applyAlignment="1">
      <alignment horizontal="center"/>
    </xf>
    <xf numFmtId="0" fontId="1" fillId="0" borderId="4" xfId="0" applyFont="1" applyBorder="1" applyAlignment="1">
      <alignment horizontal="center"/>
    </xf>
    <xf numFmtId="0" fontId="0" fillId="2" borderId="33" xfId="0" applyFill="1" applyBorder="1"/>
    <xf numFmtId="0" fontId="0" fillId="2" borderId="34" xfId="0" applyFill="1" applyBorder="1"/>
    <xf numFmtId="0" fontId="0" fillId="0" borderId="11"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1" fillId="3" borderId="27" xfId="0" applyFont="1" applyFill="1" applyBorder="1" applyAlignment="1">
      <alignment horizontal="center"/>
    </xf>
    <xf numFmtId="165" fontId="0" fillId="0" borderId="35" xfId="0" applyNumberFormat="1" applyBorder="1" applyAlignment="1">
      <alignment horizontal="center"/>
    </xf>
    <xf numFmtId="165" fontId="0" fillId="2" borderId="34" xfId="0" applyNumberFormat="1" applyFill="1" applyBorder="1" applyAlignment="1">
      <alignment horizontal="center"/>
    </xf>
    <xf numFmtId="0" fontId="0" fillId="2" borderId="34" xfId="0" applyFill="1"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165" fontId="0" fillId="0" borderId="19" xfId="0" applyNumberFormat="1" applyBorder="1" applyAlignment="1">
      <alignment horizontal="center"/>
    </xf>
    <xf numFmtId="0" fontId="0" fillId="0" borderId="20" xfId="0" applyBorder="1" applyAlignment="1">
      <alignment horizontal="center"/>
    </xf>
    <xf numFmtId="165" fontId="0" fillId="0" borderId="36" xfId="0" applyNumberFormat="1" applyBorder="1" applyAlignment="1">
      <alignment horizontal="center"/>
    </xf>
    <xf numFmtId="164" fontId="0" fillId="0" borderId="35" xfId="0" applyNumberFormat="1" applyBorder="1" applyAlignment="1">
      <alignment horizontal="center"/>
    </xf>
    <xf numFmtId="164" fontId="0" fillId="0" borderId="19" xfId="0" applyNumberFormat="1" applyBorder="1" applyAlignment="1">
      <alignment horizontal="center"/>
    </xf>
    <xf numFmtId="165" fontId="0" fillId="0" borderId="42" xfId="0" applyNumberFormat="1" applyBorder="1" applyAlignment="1">
      <alignment horizontal="center"/>
    </xf>
    <xf numFmtId="165" fontId="0" fillId="0" borderId="4" xfId="0" applyNumberFormat="1" applyBorder="1" applyAlignment="1">
      <alignment horizontal="center"/>
    </xf>
    <xf numFmtId="0" fontId="0" fillId="0" borderId="43" xfId="0" applyBorder="1" applyAlignment="1">
      <alignment horizontal="center"/>
    </xf>
    <xf numFmtId="164" fontId="0" fillId="0" borderId="42" xfId="0" applyNumberFormat="1" applyBorder="1" applyAlignment="1">
      <alignment horizontal="center"/>
    </xf>
    <xf numFmtId="0" fontId="1" fillId="3" borderId="26" xfId="0" applyFont="1" applyFill="1" applyBorder="1" applyAlignment="1">
      <alignment horizontal="center"/>
    </xf>
    <xf numFmtId="0" fontId="1" fillId="3" borderId="28" xfId="0" applyFont="1" applyFill="1" applyBorder="1" applyAlignment="1">
      <alignment horizontal="center"/>
    </xf>
    <xf numFmtId="165" fontId="0" fillId="2" borderId="44" xfId="0" applyNumberFormat="1" applyFill="1" applyBorder="1" applyAlignment="1">
      <alignment horizontal="center"/>
    </xf>
    <xf numFmtId="165" fontId="0" fillId="2" borderId="45" xfId="0" applyNumberFormat="1" applyFill="1" applyBorder="1" applyAlignment="1">
      <alignment horizontal="center"/>
    </xf>
    <xf numFmtId="165" fontId="0" fillId="2" borderId="18" xfId="0" applyNumberFormat="1" applyFill="1" applyBorder="1" applyAlignment="1">
      <alignment horizontal="center"/>
    </xf>
    <xf numFmtId="164" fontId="0" fillId="0" borderId="0" xfId="0" applyNumberFormat="1"/>
    <xf numFmtId="165" fontId="0" fillId="0" borderId="13" xfId="0" applyNumberFormat="1" applyBorder="1" applyAlignment="1">
      <alignment horizontal="center"/>
    </xf>
    <xf numFmtId="0" fontId="0" fillId="0" borderId="16" xfId="0" applyBorder="1"/>
    <xf numFmtId="0" fontId="0" fillId="0" borderId="17" xfId="0" applyBorder="1"/>
    <xf numFmtId="165" fontId="0" fillId="2" borderId="44" xfId="0" applyNumberFormat="1" applyFill="1" applyBorder="1"/>
    <xf numFmtId="0" fontId="1" fillId="0" borderId="12" xfId="0" applyFont="1" applyBorder="1"/>
    <xf numFmtId="0" fontId="0" fillId="2" borderId="45" xfId="0" applyFill="1" applyBorder="1"/>
    <xf numFmtId="165" fontId="0" fillId="0" borderId="14" xfId="0" applyNumberFormat="1" applyBorder="1"/>
    <xf numFmtId="165" fontId="0" fillId="2" borderId="46" xfId="0" applyNumberFormat="1" applyFill="1" applyBorder="1"/>
    <xf numFmtId="0" fontId="1" fillId="0" borderId="14" xfId="0" applyFont="1" applyBorder="1"/>
    <xf numFmtId="165" fontId="0" fillId="2" borderId="44" xfId="1" applyNumberFormat="1" applyFont="1" applyFill="1" applyBorder="1" applyAlignment="1">
      <alignment horizontal="center"/>
    </xf>
    <xf numFmtId="0" fontId="0" fillId="2" borderId="45" xfId="0" applyFill="1" applyBorder="1" applyAlignment="1">
      <alignment horizontal="center"/>
    </xf>
    <xf numFmtId="165" fontId="0" fillId="2" borderId="45" xfId="1" applyNumberFormat="1" applyFont="1" applyFill="1" applyBorder="1" applyAlignment="1">
      <alignment horizontal="center"/>
    </xf>
    <xf numFmtId="0" fontId="0" fillId="2" borderId="46" xfId="0" applyFill="1" applyBorder="1" applyAlignment="1">
      <alignment horizontal="center"/>
    </xf>
    <xf numFmtId="0" fontId="0" fillId="2" borderId="47" xfId="0" applyFill="1" applyBorder="1" applyAlignment="1">
      <alignment horizontal="center"/>
    </xf>
    <xf numFmtId="0" fontId="0" fillId="0" borderId="15" xfId="0" applyBorder="1"/>
    <xf numFmtId="166" fontId="0" fillId="0" borderId="10" xfId="0" applyNumberFormat="1" applyBorder="1"/>
    <xf numFmtId="9" fontId="0" fillId="0" borderId="13" xfId="3" applyFont="1" applyBorder="1"/>
    <xf numFmtId="165" fontId="0" fillId="0" borderId="38" xfId="0" applyNumberFormat="1" applyBorder="1"/>
    <xf numFmtId="0" fontId="1" fillId="0" borderId="39" xfId="0" applyFont="1" applyBorder="1"/>
    <xf numFmtId="165" fontId="0" fillId="0" borderId="48" xfId="0" applyNumberFormat="1" applyBorder="1" applyAlignment="1">
      <alignment horizontal="right"/>
    </xf>
    <xf numFmtId="165" fontId="0" fillId="0" borderId="10" xfId="0" applyNumberFormat="1" applyBorder="1"/>
    <xf numFmtId="165" fontId="0" fillId="0" borderId="13" xfId="0" applyNumberFormat="1" applyBorder="1" applyAlignment="1">
      <alignment horizontal="right"/>
    </xf>
    <xf numFmtId="165" fontId="0" fillId="0" borderId="13" xfId="0" applyNumberFormat="1" applyBorder="1"/>
    <xf numFmtId="166" fontId="0" fillId="0" borderId="10" xfId="1" applyNumberFormat="1" applyFont="1" applyBorder="1"/>
    <xf numFmtId="167" fontId="0" fillId="0" borderId="0" xfId="0" applyNumberFormat="1"/>
    <xf numFmtId="6" fontId="0" fillId="0" borderId="10" xfId="0" applyNumberFormat="1" applyBorder="1" applyAlignment="1">
      <alignment horizontal="right"/>
    </xf>
    <xf numFmtId="166" fontId="0" fillId="0" borderId="13" xfId="1" applyNumberFormat="1" applyFont="1" applyBorder="1" applyAlignment="1">
      <alignment horizontal="right"/>
    </xf>
    <xf numFmtId="6" fontId="0" fillId="0" borderId="13" xfId="0" applyNumberFormat="1" applyBorder="1" applyAlignment="1">
      <alignment horizontal="right"/>
    </xf>
    <xf numFmtId="2" fontId="1" fillId="5" borderId="2" xfId="0" applyNumberFormat="1" applyFont="1" applyFill="1" applyBorder="1" applyAlignment="1">
      <alignment horizontal="center"/>
    </xf>
    <xf numFmtId="0" fontId="1" fillId="5" borderId="2" xfId="0" applyFont="1" applyFill="1" applyBorder="1" applyAlignment="1">
      <alignment horizontal="left"/>
    </xf>
    <xf numFmtId="2" fontId="0" fillId="0" borderId="2" xfId="0" applyNumberFormat="1" applyBorder="1" applyAlignment="1">
      <alignment horizontal="center"/>
    </xf>
    <xf numFmtId="2" fontId="0" fillId="2" borderId="32" xfId="0" applyNumberFormat="1" applyFill="1" applyBorder="1" applyAlignment="1">
      <alignment horizontal="center"/>
    </xf>
    <xf numFmtId="0" fontId="0" fillId="2" borderId="32" xfId="0" applyFill="1" applyBorder="1"/>
    <xf numFmtId="0" fontId="1" fillId="0" borderId="4" xfId="0" applyFont="1" applyBorder="1"/>
    <xf numFmtId="2" fontId="1" fillId="0" borderId="2" xfId="0" applyNumberFormat="1" applyFont="1" applyBorder="1" applyAlignment="1">
      <alignment horizontal="center"/>
    </xf>
    <xf numFmtId="0" fontId="1" fillId="0" borderId="2" xfId="0" applyFont="1" applyBorder="1"/>
    <xf numFmtId="2" fontId="0" fillId="2" borderId="3" xfId="0" applyNumberFormat="1" applyFill="1" applyBorder="1" applyAlignment="1">
      <alignment horizontal="center"/>
    </xf>
    <xf numFmtId="0" fontId="0" fillId="2" borderId="3" xfId="0" applyFill="1" applyBorder="1"/>
    <xf numFmtId="2" fontId="0" fillId="0" borderId="49" xfId="0" applyNumberFormat="1" applyBorder="1" applyAlignment="1">
      <alignment horizontal="center"/>
    </xf>
    <xf numFmtId="2" fontId="0" fillId="0" borderId="50" xfId="0" applyNumberFormat="1" applyBorder="1" applyAlignment="1">
      <alignment horizontal="center"/>
    </xf>
    <xf numFmtId="0" fontId="0" fillId="0" borderId="51" xfId="0" applyBorder="1" applyAlignment="1">
      <alignment horizontal="center"/>
    </xf>
    <xf numFmtId="2" fontId="0" fillId="0" borderId="52" xfId="0" applyNumberFormat="1" applyBorder="1" applyAlignment="1">
      <alignment horizontal="center"/>
    </xf>
    <xf numFmtId="2" fontId="0" fillId="0" borderId="53" xfId="0" applyNumberFormat="1" applyBorder="1" applyAlignment="1">
      <alignment horizontal="center"/>
    </xf>
    <xf numFmtId="0" fontId="0" fillId="0" borderId="54" xfId="0" applyBorder="1" applyAlignment="1">
      <alignment horizontal="center"/>
    </xf>
    <xf numFmtId="2" fontId="0" fillId="2" borderId="55" xfId="0" applyNumberFormat="1" applyFill="1" applyBorder="1"/>
    <xf numFmtId="0" fontId="1" fillId="0" borderId="11" xfId="0" applyFont="1" applyBorder="1"/>
    <xf numFmtId="2" fontId="0" fillId="2" borderId="56" xfId="0" applyNumberFormat="1" applyFill="1" applyBorder="1"/>
    <xf numFmtId="2" fontId="0" fillId="2" borderId="56" xfId="0" quotePrefix="1" applyNumberFormat="1" applyFill="1" applyBorder="1"/>
    <xf numFmtId="2" fontId="0" fillId="0" borderId="57" xfId="0" applyNumberFormat="1" applyBorder="1" applyAlignment="1">
      <alignment horizontal="center"/>
    </xf>
    <xf numFmtId="2" fontId="0" fillId="0" borderId="58" xfId="0" applyNumberFormat="1" applyBorder="1" applyAlignment="1">
      <alignment horizontal="center"/>
    </xf>
    <xf numFmtId="0" fontId="0" fillId="0" borderId="59" xfId="0" applyBorder="1" applyAlignment="1">
      <alignment horizontal="center"/>
    </xf>
    <xf numFmtId="0" fontId="0" fillId="2" borderId="1" xfId="0" applyFill="1" applyBorder="1" applyAlignment="1">
      <alignment horizontal="center"/>
    </xf>
    <xf numFmtId="0" fontId="0" fillId="0" borderId="0" xfId="0" applyAlignment="1">
      <alignment horizontal="left"/>
    </xf>
    <xf numFmtId="0" fontId="0" fillId="0" borderId="0" xfId="0" applyAlignment="1">
      <alignment horizontal="left" wrapText="1"/>
    </xf>
    <xf numFmtId="0" fontId="1" fillId="3" borderId="31" xfId="0" applyFont="1" applyFill="1" applyBorder="1" applyAlignment="1">
      <alignment horizontal="center"/>
    </xf>
    <xf numFmtId="0" fontId="1" fillId="3" borderId="30" xfId="0" applyFont="1" applyFill="1" applyBorder="1" applyAlignment="1">
      <alignment horizontal="center"/>
    </xf>
    <xf numFmtId="0" fontId="1" fillId="3" borderId="29" xfId="0" applyFont="1" applyFill="1" applyBorder="1" applyAlignment="1">
      <alignment horizontal="center"/>
    </xf>
    <xf numFmtId="0" fontId="0" fillId="0" borderId="0" xfId="0" applyAlignment="1">
      <alignment wrapText="1"/>
    </xf>
    <xf numFmtId="0" fontId="1" fillId="0" borderId="0" xfId="0" applyFont="1" applyAlignment="1">
      <alignment horizontal="center"/>
    </xf>
    <xf numFmtId="0" fontId="0" fillId="0" borderId="0" xfId="0" applyAlignment="1">
      <alignment horizontal="left"/>
    </xf>
    <xf numFmtId="0" fontId="0" fillId="0" borderId="17" xfId="0" applyBorder="1" applyAlignment="1">
      <alignment horizontal="left" wrapText="1"/>
    </xf>
    <xf numFmtId="0" fontId="0" fillId="0" borderId="16" xfId="0" applyBorder="1" applyAlignment="1">
      <alignment horizontal="left" wrapText="1"/>
    </xf>
    <xf numFmtId="0" fontId="0" fillId="0" borderId="15" xfId="0" applyBorder="1" applyAlignment="1">
      <alignment horizontal="left" wrapText="1"/>
    </xf>
    <xf numFmtId="0" fontId="0" fillId="0" borderId="14" xfId="0" applyBorder="1" applyAlignment="1">
      <alignment horizontal="left" wrapText="1"/>
    </xf>
    <xf numFmtId="0" fontId="0" fillId="0" borderId="0" xfId="0" applyAlignment="1">
      <alignment horizontal="left" wrapText="1"/>
    </xf>
    <xf numFmtId="0" fontId="0" fillId="0" borderId="13" xfId="0" applyBorder="1" applyAlignment="1">
      <alignment horizontal="left" wrapText="1"/>
    </xf>
    <xf numFmtId="0" fontId="0" fillId="0" borderId="12" xfId="0" applyBorder="1" applyAlignment="1">
      <alignment horizontal="left" wrapText="1"/>
    </xf>
    <xf numFmtId="0" fontId="0" fillId="0" borderId="11" xfId="0" applyBorder="1" applyAlignment="1">
      <alignment horizontal="left" wrapText="1"/>
    </xf>
    <xf numFmtId="0" fontId="0" fillId="0" borderId="10" xfId="0" applyBorder="1" applyAlignment="1">
      <alignment horizontal="left" wrapText="1"/>
    </xf>
    <xf numFmtId="0" fontId="1" fillId="3" borderId="31" xfId="0" applyFont="1" applyFill="1" applyBorder="1" applyAlignment="1">
      <alignment horizontal="center"/>
    </xf>
    <xf numFmtId="0" fontId="1" fillId="3" borderId="30" xfId="0" applyFont="1" applyFill="1" applyBorder="1" applyAlignment="1">
      <alignment horizontal="center"/>
    </xf>
    <xf numFmtId="0" fontId="1" fillId="3" borderId="29" xfId="0" applyFont="1" applyFill="1" applyBorder="1" applyAlignment="1">
      <alignment horizontal="center"/>
    </xf>
    <xf numFmtId="0" fontId="5" fillId="0" borderId="0" xfId="0" applyFont="1" applyAlignment="1">
      <alignment horizontal="left" wrapText="1"/>
    </xf>
    <xf numFmtId="0" fontId="6" fillId="3" borderId="17" xfId="0" applyFont="1" applyFill="1" applyBorder="1" applyAlignment="1">
      <alignment horizontal="center"/>
    </xf>
    <xf numFmtId="0" fontId="6" fillId="3" borderId="16" xfId="0" applyFont="1" applyFill="1" applyBorder="1" applyAlignment="1">
      <alignment horizontal="center"/>
    </xf>
    <xf numFmtId="0" fontId="6" fillId="3" borderId="15" xfId="0" applyFont="1" applyFill="1" applyBorder="1" applyAlignment="1">
      <alignment horizontal="center"/>
    </xf>
    <xf numFmtId="0" fontId="6" fillId="3" borderId="31" xfId="0" applyFont="1" applyFill="1" applyBorder="1" applyAlignment="1">
      <alignment horizontal="center"/>
    </xf>
    <xf numFmtId="0" fontId="6" fillId="3" borderId="30" xfId="0" applyFont="1" applyFill="1" applyBorder="1" applyAlignment="1">
      <alignment horizontal="center"/>
    </xf>
    <xf numFmtId="0" fontId="6" fillId="3" borderId="29" xfId="0" applyFont="1" applyFill="1" applyBorder="1" applyAlignment="1">
      <alignment horizontal="center"/>
    </xf>
    <xf numFmtId="0" fontId="6" fillId="0" borderId="0" xfId="0" applyFont="1" applyAlignment="1">
      <alignment horizontal="center"/>
    </xf>
    <xf numFmtId="0" fontId="6" fillId="0" borderId="0" xfId="0" applyFont="1" applyAlignment="1">
      <alignment horizontal="center" wrapText="1"/>
    </xf>
    <xf numFmtId="0" fontId="0" fillId="0" borderId="17" xfId="0" applyBorder="1" applyAlignment="1">
      <alignment wrapText="1"/>
    </xf>
    <xf numFmtId="0" fontId="0" fillId="0" borderId="16" xfId="0" applyBorder="1" applyAlignment="1">
      <alignment wrapText="1"/>
    </xf>
    <xf numFmtId="0" fontId="0" fillId="0" borderId="15" xfId="0" applyBorder="1" applyAlignment="1">
      <alignment wrapText="1"/>
    </xf>
    <xf numFmtId="0" fontId="0" fillId="0" borderId="14" xfId="0" applyBorder="1" applyAlignment="1">
      <alignment wrapText="1"/>
    </xf>
    <xf numFmtId="0" fontId="0" fillId="0" borderId="0" xfId="0" applyAlignment="1">
      <alignment wrapText="1"/>
    </xf>
    <xf numFmtId="0" fontId="0" fillId="0" borderId="13" xfId="0" applyBorder="1" applyAlignment="1">
      <alignment wrapText="1"/>
    </xf>
    <xf numFmtId="0" fontId="0" fillId="0" borderId="12" xfId="0" applyBorder="1" applyAlignment="1">
      <alignment wrapText="1"/>
    </xf>
    <xf numFmtId="0" fontId="0" fillId="0" borderId="11" xfId="0" applyBorder="1" applyAlignment="1">
      <alignment wrapText="1"/>
    </xf>
    <xf numFmtId="0" fontId="0" fillId="0" borderId="10" xfId="0" applyBorder="1" applyAlignment="1">
      <alignment wrapText="1"/>
    </xf>
    <xf numFmtId="0" fontId="1" fillId="3" borderId="9" xfId="0" applyFont="1" applyFill="1" applyBorder="1" applyAlignment="1">
      <alignment horizontal="center"/>
    </xf>
    <xf numFmtId="0" fontId="1" fillId="3" borderId="8" xfId="0" applyFont="1" applyFill="1" applyBorder="1" applyAlignment="1">
      <alignment horizontal="center"/>
    </xf>
    <xf numFmtId="0" fontId="1" fillId="3" borderId="7" xfId="0" applyFont="1" applyFill="1" applyBorder="1" applyAlignment="1">
      <alignment horizontal="center"/>
    </xf>
    <xf numFmtId="0" fontId="4" fillId="0" borderId="17" xfId="0" applyFont="1" applyBorder="1" applyAlignment="1">
      <alignment horizontal="left" wrapText="1"/>
    </xf>
    <xf numFmtId="0" fontId="4" fillId="0" borderId="16" xfId="0" applyFont="1" applyBorder="1" applyAlignment="1">
      <alignment horizontal="left" wrapText="1"/>
    </xf>
    <xf numFmtId="0" fontId="4" fillId="0" borderId="15" xfId="0" applyFont="1" applyBorder="1" applyAlignment="1">
      <alignment horizontal="left" wrapText="1"/>
    </xf>
    <xf numFmtId="0" fontId="4" fillId="0" borderId="14" xfId="0" applyFont="1" applyBorder="1" applyAlignment="1">
      <alignment horizontal="left" wrapText="1"/>
    </xf>
    <xf numFmtId="0" fontId="4" fillId="0" borderId="0" xfId="0" applyFont="1" applyAlignment="1">
      <alignment horizontal="left" wrapText="1"/>
    </xf>
    <xf numFmtId="0" fontId="4" fillId="0" borderId="13" xfId="0" applyFont="1" applyBorder="1" applyAlignment="1">
      <alignment horizontal="left" wrapText="1"/>
    </xf>
    <xf numFmtId="0" fontId="4" fillId="0" borderId="12" xfId="0" applyFont="1" applyBorder="1" applyAlignment="1">
      <alignment horizontal="left" wrapText="1"/>
    </xf>
    <xf numFmtId="0" fontId="4" fillId="0" borderId="11" xfId="0" applyFont="1" applyBorder="1" applyAlignment="1">
      <alignment horizontal="left" wrapText="1"/>
    </xf>
    <xf numFmtId="0" fontId="4" fillId="0" borderId="10" xfId="0" applyFont="1" applyBorder="1" applyAlignment="1">
      <alignment horizontal="left" wrapText="1"/>
    </xf>
    <xf numFmtId="0" fontId="1" fillId="3" borderId="17"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0" borderId="9"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0" fillId="0" borderId="41" xfId="0" applyBorder="1" applyAlignment="1">
      <alignment horizontal="left" wrapText="1"/>
    </xf>
    <xf numFmtId="0" fontId="0" fillId="0" borderId="40" xfId="0" applyBorder="1" applyAlignment="1">
      <alignment horizontal="left" wrapText="1"/>
    </xf>
    <xf numFmtId="0" fontId="0" fillId="0" borderId="39" xfId="0" applyBorder="1" applyAlignment="1">
      <alignment horizontal="left" wrapText="1"/>
    </xf>
    <xf numFmtId="0" fontId="0" fillId="0" borderId="27" xfId="0" applyBorder="1" applyAlignment="1">
      <alignment horizontal="left" wrapText="1"/>
    </xf>
    <xf numFmtId="0" fontId="0" fillId="0" borderId="38" xfId="0" applyBorder="1" applyAlignment="1">
      <alignment horizontal="left" wrapText="1"/>
    </xf>
    <xf numFmtId="0" fontId="0" fillId="2" borderId="9" xfId="0" applyFill="1" applyBorder="1" applyAlignment="1">
      <alignment horizontal="center" wrapText="1"/>
    </xf>
    <xf numFmtId="0" fontId="0" fillId="2" borderId="8" xfId="0" applyFill="1" applyBorder="1" applyAlignment="1">
      <alignment horizontal="center" wrapText="1"/>
    </xf>
    <xf numFmtId="0" fontId="0" fillId="2" borderId="7" xfId="0" applyFill="1" applyBorder="1" applyAlignment="1">
      <alignment horizontal="center" wrapText="1"/>
    </xf>
    <xf numFmtId="0" fontId="0" fillId="2" borderId="41" xfId="0" applyFill="1" applyBorder="1" applyAlignment="1">
      <alignment horizontal="center" wrapText="1"/>
    </xf>
    <xf numFmtId="0" fontId="0" fillId="2" borderId="0" xfId="0" applyFill="1" applyAlignment="1">
      <alignment horizontal="center" wrapText="1"/>
    </xf>
    <xf numFmtId="0" fontId="0" fillId="2" borderId="40" xfId="0" applyFill="1" applyBorder="1" applyAlignment="1">
      <alignment horizontal="center" wrapText="1"/>
    </xf>
    <xf numFmtId="0" fontId="0" fillId="2" borderId="39" xfId="0" applyFill="1" applyBorder="1" applyAlignment="1">
      <alignment horizontal="center" wrapText="1"/>
    </xf>
    <xf numFmtId="0" fontId="0" fillId="2" borderId="27" xfId="0" applyFill="1" applyBorder="1" applyAlignment="1">
      <alignment horizontal="center" wrapText="1"/>
    </xf>
    <xf numFmtId="0" fontId="0" fillId="2" borderId="38" xfId="0" applyFill="1" applyBorder="1" applyAlignment="1">
      <alignment horizontal="center" wrapText="1"/>
    </xf>
    <xf numFmtId="0" fontId="3" fillId="0" borderId="0" xfId="0" applyFont="1" applyAlignment="1">
      <alignment horizontal="left" vertical="top" wrapText="1"/>
    </xf>
    <xf numFmtId="0" fontId="1" fillId="0" borderId="11" xfId="0" applyFont="1" applyBorder="1" applyAlignment="1">
      <alignment horizontal="left"/>
    </xf>
    <xf numFmtId="0" fontId="1" fillId="0" borderId="12" xfId="0" applyFont="1" applyBorder="1" applyAlignment="1">
      <alignment horizontal="left"/>
    </xf>
    <xf numFmtId="0" fontId="1" fillId="0" borderId="16" xfId="0" applyFont="1" applyBorder="1" applyAlignment="1">
      <alignment horizontal="center"/>
    </xf>
    <xf numFmtId="0" fontId="1" fillId="0" borderId="15" xfId="0" applyFont="1" applyBorder="1" applyAlignment="1">
      <alignment horizontal="center"/>
    </xf>
    <xf numFmtId="0" fontId="1" fillId="0" borderId="14" xfId="0" applyFont="1" applyBorder="1" applyAlignment="1">
      <alignment horizontal="right" vertical="center" textRotation="90"/>
    </xf>
    <xf numFmtId="0" fontId="1" fillId="0" borderId="0" xfId="0" applyFont="1" applyAlignment="1">
      <alignment horizontal="left"/>
    </xf>
    <xf numFmtId="0" fontId="1" fillId="0" borderId="17" xfId="0" applyFont="1" applyBorder="1" applyAlignment="1">
      <alignment horizontal="center"/>
    </xf>
    <xf numFmtId="0" fontId="1"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Price, Advertising</a:t>
            </a:r>
            <a:r>
              <a:rPr lang="en-US" baseline="0"/>
              <a:t>, and Profitability</a:t>
            </a:r>
            <a:endParaRPr lang="en-US"/>
          </a:p>
        </c:rich>
      </c:tx>
      <c:overlay val="0"/>
    </c:title>
    <c:autoTitleDeleted val="0"/>
    <c:plotArea>
      <c:layout/>
      <c:lineChart>
        <c:grouping val="standard"/>
        <c:varyColors val="0"/>
        <c:ser>
          <c:idx val="1"/>
          <c:order val="0"/>
          <c:tx>
            <c:strRef>
              <c:f>[1]Pricing!$C$48</c:f>
              <c:strCache>
                <c:ptCount val="1"/>
                <c:pt idx="0">
                  <c:v>25000000</c:v>
                </c:pt>
              </c:strCache>
            </c:strRef>
          </c:tx>
          <c:marker>
            <c:symbol val="none"/>
          </c:marker>
          <c:cat>
            <c:numRef>
              <c:f>[1]Pricing!$B$49:$B$69</c:f>
              <c:numCache>
                <c:formatCode>General</c:formatCode>
                <c:ptCount val="21"/>
                <c:pt idx="0">
                  <c:v>200</c:v>
                </c:pt>
                <c:pt idx="1">
                  <c:v>210</c:v>
                </c:pt>
                <c:pt idx="2">
                  <c:v>220</c:v>
                </c:pt>
                <c:pt idx="3">
                  <c:v>230</c:v>
                </c:pt>
                <c:pt idx="4">
                  <c:v>240</c:v>
                </c:pt>
                <c:pt idx="5">
                  <c:v>250</c:v>
                </c:pt>
                <c:pt idx="6">
                  <c:v>260</c:v>
                </c:pt>
                <c:pt idx="7">
                  <c:v>270</c:v>
                </c:pt>
                <c:pt idx="8">
                  <c:v>280</c:v>
                </c:pt>
                <c:pt idx="9">
                  <c:v>290</c:v>
                </c:pt>
                <c:pt idx="10">
                  <c:v>300</c:v>
                </c:pt>
                <c:pt idx="11">
                  <c:v>310</c:v>
                </c:pt>
                <c:pt idx="12">
                  <c:v>320</c:v>
                </c:pt>
                <c:pt idx="13">
                  <c:v>330</c:v>
                </c:pt>
                <c:pt idx="14">
                  <c:v>340</c:v>
                </c:pt>
                <c:pt idx="15">
                  <c:v>350</c:v>
                </c:pt>
                <c:pt idx="16">
                  <c:v>360</c:v>
                </c:pt>
                <c:pt idx="17">
                  <c:v>370</c:v>
                </c:pt>
                <c:pt idx="18">
                  <c:v>380</c:v>
                </c:pt>
                <c:pt idx="19">
                  <c:v>390</c:v>
                </c:pt>
                <c:pt idx="20">
                  <c:v>400</c:v>
                </c:pt>
              </c:numCache>
            </c:numRef>
          </c:cat>
          <c:val>
            <c:numRef>
              <c:f>[1]Pricing!$C$49:$C$69</c:f>
              <c:numCache>
                <c:formatCode>General</c:formatCode>
                <c:ptCount val="21"/>
                <c:pt idx="0">
                  <c:v>-18244486.294746995</c:v>
                </c:pt>
                <c:pt idx="1">
                  <c:v>7099033.9675340652</c:v>
                </c:pt>
                <c:pt idx="2">
                  <c:v>29942554.229815245</c:v>
                </c:pt>
                <c:pt idx="3">
                  <c:v>50286074.492096424</c:v>
                </c:pt>
                <c:pt idx="4">
                  <c:v>68129594.754377484</c:v>
                </c:pt>
                <c:pt idx="5">
                  <c:v>83473115.016658604</c:v>
                </c:pt>
                <c:pt idx="6">
                  <c:v>96316635.278939784</c:v>
                </c:pt>
                <c:pt idx="7">
                  <c:v>106660155.5412209</c:v>
                </c:pt>
                <c:pt idx="8">
                  <c:v>114503675.80350202</c:v>
                </c:pt>
                <c:pt idx="9">
                  <c:v>119847196.06578314</c:v>
                </c:pt>
                <c:pt idx="10">
                  <c:v>122690716.32806426</c:v>
                </c:pt>
                <c:pt idx="11">
                  <c:v>123034236.59034538</c:v>
                </c:pt>
                <c:pt idx="12">
                  <c:v>120877756.8526265</c:v>
                </c:pt>
                <c:pt idx="13">
                  <c:v>116221277.11490762</c:v>
                </c:pt>
                <c:pt idx="14">
                  <c:v>109064797.37718874</c:v>
                </c:pt>
                <c:pt idx="15">
                  <c:v>99408317.639469862</c:v>
                </c:pt>
                <c:pt idx="16">
                  <c:v>87251837.901751041</c:v>
                </c:pt>
                <c:pt idx="17">
                  <c:v>72595358.164032131</c:v>
                </c:pt>
                <c:pt idx="18">
                  <c:v>55438878.426313251</c:v>
                </c:pt>
                <c:pt idx="19">
                  <c:v>35782398.688594371</c:v>
                </c:pt>
                <c:pt idx="20">
                  <c:v>13625918.950875521</c:v>
                </c:pt>
              </c:numCache>
            </c:numRef>
          </c:val>
          <c:smooth val="0"/>
          <c:extLst>
            <c:ext xmlns:c16="http://schemas.microsoft.com/office/drawing/2014/chart" uri="{C3380CC4-5D6E-409C-BE32-E72D297353CC}">
              <c16:uniqueId val="{00000000-27DA-4A3F-950C-A7796CEB28BB}"/>
            </c:ext>
          </c:extLst>
        </c:ser>
        <c:dLbls>
          <c:showLegendKey val="0"/>
          <c:showVal val="0"/>
          <c:showCatName val="0"/>
          <c:showSerName val="0"/>
          <c:showPercent val="0"/>
          <c:showBubbleSize val="0"/>
        </c:dLbls>
        <c:smooth val="0"/>
        <c:axId val="145964952"/>
        <c:axId val="145966128"/>
      </c:lineChart>
      <c:catAx>
        <c:axId val="145964952"/>
        <c:scaling>
          <c:orientation val="minMax"/>
        </c:scaling>
        <c:delete val="0"/>
        <c:axPos val="b"/>
        <c:title>
          <c:tx>
            <c:rich>
              <a:bodyPr/>
              <a:lstStyle/>
              <a:p>
                <a:pPr>
                  <a:defRPr/>
                </a:pPr>
                <a:r>
                  <a:rPr lang="en-US"/>
                  <a:t>Price</a:t>
                </a:r>
              </a:p>
            </c:rich>
          </c:tx>
          <c:overlay val="0"/>
        </c:title>
        <c:numFmt formatCode="General" sourceLinked="1"/>
        <c:majorTickMark val="out"/>
        <c:minorTickMark val="none"/>
        <c:tickLblPos val="nextTo"/>
        <c:crossAx val="145966128"/>
        <c:crosses val="autoZero"/>
        <c:auto val="1"/>
        <c:lblAlgn val="ctr"/>
        <c:lblOffset val="100"/>
        <c:noMultiLvlLbl val="0"/>
      </c:catAx>
      <c:valAx>
        <c:axId val="145966128"/>
        <c:scaling>
          <c:orientation val="minMax"/>
        </c:scaling>
        <c:delete val="0"/>
        <c:axPos val="l"/>
        <c:majorGridlines/>
        <c:title>
          <c:tx>
            <c:rich>
              <a:bodyPr rot="-5400000" vert="horz"/>
              <a:lstStyle/>
              <a:p>
                <a:pPr>
                  <a:defRPr/>
                </a:pPr>
                <a:r>
                  <a:rPr lang="en-US"/>
                  <a:t>Total</a:t>
                </a:r>
                <a:r>
                  <a:rPr lang="en-US" baseline="0"/>
                  <a:t> Profit</a:t>
                </a:r>
                <a:endParaRPr lang="en-US"/>
              </a:p>
            </c:rich>
          </c:tx>
          <c:overlay val="0"/>
        </c:title>
        <c:numFmt formatCode="General" sourceLinked="1"/>
        <c:majorTickMark val="out"/>
        <c:minorTickMark val="none"/>
        <c:tickLblPos val="nextTo"/>
        <c:crossAx val="1459649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Supplier Contract and Profitability</a:t>
            </a:r>
          </a:p>
        </c:rich>
      </c:tx>
      <c:overlay val="0"/>
    </c:title>
    <c:autoTitleDeleted val="0"/>
    <c:plotArea>
      <c:layout/>
      <c:lineChart>
        <c:grouping val="standard"/>
        <c:varyColors val="0"/>
        <c:ser>
          <c:idx val="0"/>
          <c:order val="0"/>
          <c:marker>
            <c:symbol val="none"/>
          </c:marker>
          <c:cat>
            <c:numRef>
              <c:f>[1]Pricing!$B$33:$B$43</c:f>
              <c:numCache>
                <c:formatCode>General</c:formatCode>
                <c:ptCount val="11"/>
                <c:pt idx="0">
                  <c:v>0</c:v>
                </c:pt>
                <c:pt idx="1">
                  <c:v>10000000</c:v>
                </c:pt>
                <c:pt idx="2">
                  <c:v>20000000</c:v>
                </c:pt>
                <c:pt idx="3">
                  <c:v>30000000</c:v>
                </c:pt>
                <c:pt idx="4">
                  <c:v>40000000</c:v>
                </c:pt>
                <c:pt idx="5">
                  <c:v>50000000</c:v>
                </c:pt>
                <c:pt idx="6">
                  <c:v>60000000</c:v>
                </c:pt>
                <c:pt idx="7">
                  <c:v>70000000</c:v>
                </c:pt>
                <c:pt idx="8">
                  <c:v>80000000</c:v>
                </c:pt>
                <c:pt idx="9">
                  <c:v>90000000</c:v>
                </c:pt>
                <c:pt idx="10">
                  <c:v>100000000</c:v>
                </c:pt>
              </c:numCache>
            </c:numRef>
          </c:cat>
          <c:val>
            <c:numRef>
              <c:f>[1]Pricing!$C$33:$C$43</c:f>
              <c:numCache>
                <c:formatCode>General</c:formatCode>
                <c:ptCount val="11"/>
                <c:pt idx="0">
                  <c:v>203875000</c:v>
                </c:pt>
                <c:pt idx="1">
                  <c:v>193875000</c:v>
                </c:pt>
                <c:pt idx="2">
                  <c:v>207581112.15853858</c:v>
                </c:pt>
                <c:pt idx="3">
                  <c:v>211448298.80917335</c:v>
                </c:pt>
                <c:pt idx="4">
                  <c:v>211287224.31707704</c:v>
                </c:pt>
                <c:pt idx="5">
                  <c:v>208918887.84146142</c:v>
                </c:pt>
                <c:pt idx="6">
                  <c:v>205154410.96771193</c:v>
                </c:pt>
                <c:pt idx="7">
                  <c:v>200426470.65112269</c:v>
                </c:pt>
                <c:pt idx="8">
                  <c:v>194993336.4756155</c:v>
                </c:pt>
                <c:pt idx="9">
                  <c:v>189021597.61834693</c:v>
                </c:pt>
                <c:pt idx="10">
                  <c:v>182625000</c:v>
                </c:pt>
              </c:numCache>
            </c:numRef>
          </c:val>
          <c:smooth val="0"/>
          <c:extLst>
            <c:ext xmlns:c16="http://schemas.microsoft.com/office/drawing/2014/chart" uri="{C3380CC4-5D6E-409C-BE32-E72D297353CC}">
              <c16:uniqueId val="{00000000-9C3F-486A-A2DA-6C27FF35A40A}"/>
            </c:ext>
          </c:extLst>
        </c:ser>
        <c:dLbls>
          <c:showLegendKey val="0"/>
          <c:showVal val="0"/>
          <c:showCatName val="0"/>
          <c:showSerName val="0"/>
          <c:showPercent val="0"/>
          <c:showBubbleSize val="0"/>
        </c:dLbls>
        <c:smooth val="0"/>
        <c:axId val="145962992"/>
        <c:axId val="145965344"/>
      </c:lineChart>
      <c:catAx>
        <c:axId val="145962992"/>
        <c:scaling>
          <c:orientation val="minMax"/>
        </c:scaling>
        <c:delete val="0"/>
        <c:axPos val="b"/>
        <c:title>
          <c:tx>
            <c:rich>
              <a:bodyPr/>
              <a:lstStyle/>
              <a:p>
                <a:pPr>
                  <a:defRPr/>
                </a:pPr>
                <a:r>
                  <a:rPr lang="en-US"/>
                  <a:t>Supplier Contract Level</a:t>
                </a:r>
              </a:p>
            </c:rich>
          </c:tx>
          <c:overlay val="0"/>
        </c:title>
        <c:numFmt formatCode="General" sourceLinked="1"/>
        <c:majorTickMark val="out"/>
        <c:minorTickMark val="none"/>
        <c:tickLblPos val="nextTo"/>
        <c:crossAx val="145965344"/>
        <c:crosses val="autoZero"/>
        <c:auto val="1"/>
        <c:lblAlgn val="ctr"/>
        <c:lblOffset val="100"/>
        <c:noMultiLvlLbl val="0"/>
      </c:catAx>
      <c:valAx>
        <c:axId val="145965344"/>
        <c:scaling>
          <c:orientation val="minMax"/>
        </c:scaling>
        <c:delete val="0"/>
        <c:axPos val="l"/>
        <c:majorGridlines/>
        <c:title>
          <c:tx>
            <c:rich>
              <a:bodyPr rot="-5400000" vert="horz"/>
              <a:lstStyle/>
              <a:p>
                <a:pPr>
                  <a:defRPr/>
                </a:pPr>
                <a:r>
                  <a:rPr lang="en-US"/>
                  <a:t>Profit</a:t>
                </a:r>
              </a:p>
            </c:rich>
          </c:tx>
          <c:overlay val="0"/>
        </c:title>
        <c:numFmt formatCode="General" sourceLinked="1"/>
        <c:majorTickMark val="out"/>
        <c:minorTickMark val="none"/>
        <c:tickLblPos val="nextTo"/>
        <c:crossAx val="1459629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Summer</a:t>
            </a:r>
            <a:r>
              <a:rPr lang="en-US" baseline="0"/>
              <a:t> Rainfall in </a:t>
            </a:r>
            <a:r>
              <a:rPr lang="en-US"/>
              <a:t>2006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'[2]Pie Chart'!$C$8</c:f>
              <c:strCache>
                <c:ptCount val="1"/>
                <c:pt idx="0">
                  <c:v>2006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0-4382-82E5-F29B1B1237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0-4382-82E5-F29B1B1237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0-4382-82E5-F29B1B1237CD}"/>
              </c:ext>
            </c:extLst>
          </c:dPt>
          <c:cat>
            <c:strRef>
              <c:f>'[2]Pie Chart'!$B$15:$B$17</c:f>
              <c:strCache>
                <c:ptCount val="3"/>
                <c:pt idx="0">
                  <c:v>July</c:v>
                </c:pt>
                <c:pt idx="1">
                  <c:v>August</c:v>
                </c:pt>
                <c:pt idx="2">
                  <c:v>September</c:v>
                </c:pt>
              </c:strCache>
            </c:strRef>
          </c:cat>
          <c:val>
            <c:numRef>
              <c:f>'[2]Pie Chart'!$C$15:$C$17</c:f>
              <c:numCache>
                <c:formatCode>General</c:formatCode>
                <c:ptCount val="3"/>
                <c:pt idx="0">
                  <c:v>0.39</c:v>
                </c:pt>
                <c:pt idx="1">
                  <c:v>0.81</c:v>
                </c:pt>
                <c:pt idx="2">
                  <c:v>2.0299999999999998</c:v>
                </c:pt>
              </c:numCache>
            </c:numRef>
          </c:val>
          <c:extLst>
            <c:ext xmlns:c16="http://schemas.microsoft.com/office/drawing/2014/chart" uri="{C3380CC4-5D6E-409C-BE32-E72D297353CC}">
              <c16:uniqueId val="{00000006-67C0-4382-82E5-F29B1B1237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Spring</a:t>
            </a:r>
            <a:r>
              <a:rPr lang="en-US" baseline="0"/>
              <a:t> Rainfall: 2006 - 2010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'[3]Stacked Column Chart'!$B$12</c:f>
              <c:strCache>
                <c:ptCount val="1"/>
                <c:pt idx="0">
                  <c:v>April</c:v>
                </c:pt>
              </c:strCache>
            </c:strRef>
          </c:tx>
          <c:spPr>
            <a:solidFill>
              <a:schemeClr val="accent1"/>
            </a:solidFill>
            <a:ln>
              <a:noFill/>
            </a:ln>
            <a:effectLst/>
          </c:spPr>
          <c:invertIfNegative val="0"/>
          <c:cat>
            <c:numRef>
              <c:f>'[3]Stacked Column Chart'!$C$8:$G$8</c:f>
              <c:numCache>
                <c:formatCode>General</c:formatCode>
                <c:ptCount val="5"/>
                <c:pt idx="0">
                  <c:v>2006</c:v>
                </c:pt>
                <c:pt idx="1">
                  <c:v>2007</c:v>
                </c:pt>
                <c:pt idx="2">
                  <c:v>2008</c:v>
                </c:pt>
                <c:pt idx="3">
                  <c:v>2009</c:v>
                </c:pt>
                <c:pt idx="4">
                  <c:v>2010</c:v>
                </c:pt>
              </c:numCache>
            </c:numRef>
          </c:cat>
          <c:val>
            <c:numRef>
              <c:f>'[3]Stacked Column Chart'!$C$12:$G$12</c:f>
              <c:numCache>
                <c:formatCode>General</c:formatCode>
                <c:ptCount val="5"/>
                <c:pt idx="0">
                  <c:v>3.38</c:v>
                </c:pt>
                <c:pt idx="1">
                  <c:v>0.93</c:v>
                </c:pt>
                <c:pt idx="2">
                  <c:v>0.28999999999999998</c:v>
                </c:pt>
                <c:pt idx="3">
                  <c:v>4.6900000000000004</c:v>
                </c:pt>
                <c:pt idx="4">
                  <c:v>2.68</c:v>
                </c:pt>
              </c:numCache>
            </c:numRef>
          </c:val>
          <c:extLst>
            <c:ext xmlns:c16="http://schemas.microsoft.com/office/drawing/2014/chart" uri="{C3380CC4-5D6E-409C-BE32-E72D297353CC}">
              <c16:uniqueId val="{00000000-66D8-4752-AE4D-E47DB793F670}"/>
            </c:ext>
          </c:extLst>
        </c:ser>
        <c:ser>
          <c:idx val="1"/>
          <c:order val="1"/>
          <c:tx>
            <c:strRef>
              <c:f>'[3]Stacked Column Chart'!$B$13</c:f>
              <c:strCache>
                <c:ptCount val="1"/>
                <c:pt idx="0">
                  <c:v>May</c:v>
                </c:pt>
              </c:strCache>
            </c:strRef>
          </c:tx>
          <c:spPr>
            <a:solidFill>
              <a:schemeClr val="accent2"/>
            </a:solidFill>
            <a:ln>
              <a:noFill/>
            </a:ln>
            <a:effectLst/>
          </c:spPr>
          <c:invertIfNegative val="0"/>
          <c:cat>
            <c:numRef>
              <c:f>'[3]Stacked Column Chart'!$C$8:$G$8</c:f>
              <c:numCache>
                <c:formatCode>General</c:formatCode>
                <c:ptCount val="5"/>
                <c:pt idx="0">
                  <c:v>2006</c:v>
                </c:pt>
                <c:pt idx="1">
                  <c:v>2007</c:v>
                </c:pt>
                <c:pt idx="2">
                  <c:v>2008</c:v>
                </c:pt>
                <c:pt idx="3">
                  <c:v>2009</c:v>
                </c:pt>
                <c:pt idx="4">
                  <c:v>2010</c:v>
                </c:pt>
              </c:numCache>
            </c:numRef>
          </c:cat>
          <c:val>
            <c:numRef>
              <c:f>'[3]Stacked Column Chart'!$C$13:$G$13</c:f>
              <c:numCache>
                <c:formatCode>General</c:formatCode>
                <c:ptCount val="5"/>
                <c:pt idx="0">
                  <c:v>0.71</c:v>
                </c:pt>
                <c:pt idx="1">
                  <c:v>1.26</c:v>
                </c:pt>
                <c:pt idx="2">
                  <c:v>1.77</c:v>
                </c:pt>
                <c:pt idx="3">
                  <c:v>1.76</c:v>
                </c:pt>
                <c:pt idx="4">
                  <c:v>3.39</c:v>
                </c:pt>
              </c:numCache>
            </c:numRef>
          </c:val>
          <c:extLst>
            <c:ext xmlns:c16="http://schemas.microsoft.com/office/drawing/2014/chart" uri="{C3380CC4-5D6E-409C-BE32-E72D297353CC}">
              <c16:uniqueId val="{00000001-66D8-4752-AE4D-E47DB793F670}"/>
            </c:ext>
          </c:extLst>
        </c:ser>
        <c:ser>
          <c:idx val="2"/>
          <c:order val="2"/>
          <c:tx>
            <c:strRef>
              <c:f>'[3]Stacked Column Chart'!$B$14</c:f>
              <c:strCache>
                <c:ptCount val="1"/>
                <c:pt idx="0">
                  <c:v>June</c:v>
                </c:pt>
              </c:strCache>
            </c:strRef>
          </c:tx>
          <c:spPr>
            <a:solidFill>
              <a:schemeClr val="accent3"/>
            </a:solidFill>
            <a:ln>
              <a:noFill/>
            </a:ln>
            <a:effectLst/>
          </c:spPr>
          <c:invertIfNegative val="0"/>
          <c:cat>
            <c:numRef>
              <c:f>'[3]Stacked Column Chart'!$C$8:$G$8</c:f>
              <c:numCache>
                <c:formatCode>General</c:formatCode>
                <c:ptCount val="5"/>
                <c:pt idx="0">
                  <c:v>2006</c:v>
                </c:pt>
                <c:pt idx="1">
                  <c:v>2007</c:v>
                </c:pt>
                <c:pt idx="2">
                  <c:v>2008</c:v>
                </c:pt>
                <c:pt idx="3">
                  <c:v>2009</c:v>
                </c:pt>
                <c:pt idx="4">
                  <c:v>2010</c:v>
                </c:pt>
              </c:numCache>
            </c:numRef>
          </c:cat>
          <c:val>
            <c:numRef>
              <c:f>'[3]Stacked Column Chart'!$C$14:$G$14</c:f>
              <c:numCache>
                <c:formatCode>General</c:formatCode>
                <c:ptCount val="5"/>
                <c:pt idx="0">
                  <c:v>0.88</c:v>
                </c:pt>
                <c:pt idx="1">
                  <c:v>1.05</c:v>
                </c:pt>
                <c:pt idx="2">
                  <c:v>0.32</c:v>
                </c:pt>
                <c:pt idx="3">
                  <c:v>1.9</c:v>
                </c:pt>
                <c:pt idx="4">
                  <c:v>0.93</c:v>
                </c:pt>
              </c:numCache>
            </c:numRef>
          </c:val>
          <c:extLst>
            <c:ext xmlns:c16="http://schemas.microsoft.com/office/drawing/2014/chart" uri="{C3380CC4-5D6E-409C-BE32-E72D297353CC}">
              <c16:uniqueId val="{00000002-66D8-4752-AE4D-E47DB793F670}"/>
            </c:ext>
          </c:extLst>
        </c:ser>
        <c:dLbls>
          <c:showLegendKey val="0"/>
          <c:showVal val="0"/>
          <c:showCatName val="0"/>
          <c:showSerName val="0"/>
          <c:showPercent val="0"/>
          <c:showBubbleSize val="0"/>
        </c:dLbls>
        <c:gapWidth val="150"/>
        <c:overlap val="100"/>
        <c:axId val="408116456"/>
        <c:axId val="408116784"/>
      </c:barChart>
      <c:catAx>
        <c:axId val="408116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16784"/>
        <c:crosses val="autoZero"/>
        <c:auto val="1"/>
        <c:lblAlgn val="ctr"/>
        <c:lblOffset val="100"/>
        <c:noMultiLvlLbl val="0"/>
      </c:catAx>
      <c:valAx>
        <c:axId val="40811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16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628649</xdr:colOff>
      <xdr:row>45</xdr:row>
      <xdr:rowOff>71438</xdr:rowOff>
    </xdr:from>
    <xdr:to>
      <xdr:col>14</xdr:col>
      <xdr:colOff>285750</xdr:colOff>
      <xdr:row>68</xdr:row>
      <xdr:rowOff>47626</xdr:rowOff>
    </xdr:to>
    <xdr:graphicFrame macro="">
      <xdr:nvGraphicFramePr>
        <xdr:cNvPr id="2" name="Chart 1">
          <a:extLst>
            <a:ext uri="{FF2B5EF4-FFF2-40B4-BE49-F238E27FC236}">
              <a16:creationId xmlns:a16="http://schemas.microsoft.com/office/drawing/2014/main" id="{4B795897-3189-48A6-9BC5-03201374C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695325</xdr:colOff>
      <xdr:row>25</xdr:row>
      <xdr:rowOff>23812</xdr:rowOff>
    </xdr:from>
    <xdr:to>
      <xdr:col>9</xdr:col>
      <xdr:colOff>142875</xdr:colOff>
      <xdr:row>44</xdr:row>
      <xdr:rowOff>0</xdr:rowOff>
    </xdr:to>
    <xdr:graphicFrame macro="">
      <xdr:nvGraphicFramePr>
        <xdr:cNvPr id="3" name="Chart 2">
          <a:extLst>
            <a:ext uri="{FF2B5EF4-FFF2-40B4-BE49-F238E27FC236}">
              <a16:creationId xmlns:a16="http://schemas.microsoft.com/office/drawing/2014/main" id="{D176BEE9-AAD4-48B5-8C03-82C296681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228600</xdr:colOff>
      <xdr:row>15</xdr:row>
      <xdr:rowOff>127000</xdr:rowOff>
    </xdr:from>
    <xdr:ext cx="4845299" cy="790616"/>
    <xdr:pic>
      <xdr:nvPicPr>
        <xdr:cNvPr id="4" name="Picture 3">
          <a:extLst>
            <a:ext uri="{FF2B5EF4-FFF2-40B4-BE49-F238E27FC236}">
              <a16:creationId xmlns:a16="http://schemas.microsoft.com/office/drawing/2014/main" id="{4C0D6BB1-4556-46E5-AAF8-9C58B58E3013}"/>
            </a:ext>
          </a:extLst>
        </xdr:cNvPr>
        <xdr:cNvPicPr>
          <a:picLocks noChangeAspect="1"/>
        </xdr:cNvPicPr>
      </xdr:nvPicPr>
      <xdr:blipFill>
        <a:blip xmlns:r="http://schemas.openxmlformats.org/officeDocument/2006/relationships" r:embed="rId3"/>
        <a:stretch>
          <a:fillRect/>
        </a:stretch>
      </xdr:blipFill>
      <xdr:spPr>
        <a:xfrm>
          <a:off x="838200" y="2889250"/>
          <a:ext cx="4845299" cy="79061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155575</xdr:colOff>
      <xdr:row>9</xdr:row>
      <xdr:rowOff>161925</xdr:rowOff>
    </xdr:from>
    <xdr:to>
      <xdr:col>15</xdr:col>
      <xdr:colOff>460375</xdr:colOff>
      <xdr:row>24</xdr:row>
      <xdr:rowOff>136525</xdr:rowOff>
    </xdr:to>
    <xdr:graphicFrame macro="">
      <xdr:nvGraphicFramePr>
        <xdr:cNvPr id="2" name="Chart 1">
          <a:extLst>
            <a:ext uri="{FF2B5EF4-FFF2-40B4-BE49-F238E27FC236}">
              <a16:creationId xmlns:a16="http://schemas.microsoft.com/office/drawing/2014/main" id="{88EE4771-263C-4E8E-B034-92D46002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0.01389</cdr:x>
      <cdr:y>0.02315</cdr:y>
    </cdr:from>
    <cdr:to>
      <cdr:x>0.01389</cdr:x>
      <cdr:y>0.02315</cdr:y>
    </cdr:to>
    <cdr:cxnSp macro="">
      <cdr:nvCxnSpPr>
        <cdr:cNvPr id="2" name="invisaline">
          <a:extLst xmlns:a="http://schemas.openxmlformats.org/drawingml/2006/main">
            <a:ext uri="{FF2B5EF4-FFF2-40B4-BE49-F238E27FC236}">
              <a16:creationId xmlns:a16="http://schemas.microsoft.com/office/drawing/2014/main" id="{2666ADD8-C186-44FF-B9D3-041DDEE54DA2}"/>
            </a:ext>
          </a:extLst>
        </cdr:cNvPr>
        <cdr:cNvCxnSpPr/>
      </cdr:nvCxnSpPr>
      <cdr:spPr>
        <a:xfrm xmlns:a="http://schemas.openxmlformats.org/drawingml/2006/main">
          <a:off x="63500" y="63500"/>
          <a:ext cx="0" cy="0"/>
        </a:xfrm>
        <a:prstGeom xmlns:a="http://schemas.openxmlformats.org/drawingml/2006/main" prst="line">
          <a:avLst/>
        </a:prstGeom>
        <a:ln xmlns:a="http://schemas.openxmlformats.org/drawingml/2006/main">
          <a:solidFill>
            <a:srgbClr val="00496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8</xdr:col>
      <xdr:colOff>257175</xdr:colOff>
      <xdr:row>8</xdr:row>
      <xdr:rowOff>28575</xdr:rowOff>
    </xdr:from>
    <xdr:to>
      <xdr:col>15</xdr:col>
      <xdr:colOff>561975</xdr:colOff>
      <xdr:row>23</xdr:row>
      <xdr:rowOff>3175</xdr:rowOff>
    </xdr:to>
    <xdr:graphicFrame macro="">
      <xdr:nvGraphicFramePr>
        <xdr:cNvPr id="2" name="Chart 1">
          <a:extLst>
            <a:ext uri="{FF2B5EF4-FFF2-40B4-BE49-F238E27FC236}">
              <a16:creationId xmlns:a16="http://schemas.microsoft.com/office/drawing/2014/main" id="{59155D9B-A00E-4494-B0BF-AA8BEFC27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0.01389</cdr:x>
      <cdr:y>0.02315</cdr:y>
    </cdr:from>
    <cdr:to>
      <cdr:x>0.01389</cdr:x>
      <cdr:y>0.02315</cdr:y>
    </cdr:to>
    <cdr:cxnSp macro="">
      <cdr:nvCxnSpPr>
        <cdr:cNvPr id="2" name="invisaline">
          <a:extLst xmlns:a="http://schemas.openxmlformats.org/drawingml/2006/main">
            <a:ext uri="{FF2B5EF4-FFF2-40B4-BE49-F238E27FC236}">
              <a16:creationId xmlns:a16="http://schemas.microsoft.com/office/drawing/2014/main" id="{85072125-B1F8-41AB-9D72-2168037D3C7A}"/>
            </a:ext>
          </a:extLst>
        </cdr:cNvPr>
        <cdr:cNvCxnSpPr/>
      </cdr:nvCxnSpPr>
      <cdr:spPr>
        <a:xfrm xmlns:a="http://schemas.openxmlformats.org/drawingml/2006/main">
          <a:off x="63500" y="63500"/>
          <a:ext cx="0" cy="0"/>
        </a:xfrm>
        <a:prstGeom xmlns:a="http://schemas.openxmlformats.org/drawingml/2006/main" prst="line">
          <a:avLst/>
        </a:prstGeom>
        <a:ln xmlns:a="http://schemas.openxmlformats.org/drawingml/2006/main">
          <a:solidFill>
            <a:srgbClr val="004965"/>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School/School-MyCollegeFriend/modelingBasics-A5-Hans_Haroldsen.xlsm" TargetMode="External"/><Relationship Id="rId1" Type="http://schemas.openxmlformats.org/officeDocument/2006/relationships/externalLinkPath" Target="/78f86dd322aa2d8b/Documents/School/School-MyCollegeFriend/modelingBasics-A5-Hans_Haroldsen.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chool/School-MyCollegeFriend/PieChartPractice-A5-Hans_Haroldsen.xlsm" TargetMode="External"/><Relationship Id="rId1" Type="http://schemas.openxmlformats.org/officeDocument/2006/relationships/externalLinkPath" Target="/78f86dd322aa2d8b/Documents/School/School-MyCollegeFriend/PieChartPractice-A5-Hans_Haroldsen.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chool/School-MyCollegeFriend/StackedColumnChartPractice-A5-Hans_Haroldsen.xlsm" TargetMode="External"/><Relationship Id="rId1" Type="http://schemas.openxmlformats.org/officeDocument/2006/relationships/externalLinkPath" Target="/78f86dd322aa2d8b/Documents/School/School-MyCollegeFriend/StackedColumnChartPractice-A5-Hans_Haroldse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able Macros"/>
      <sheetName val="Paycheck"/>
      <sheetName val="Scenario Summary"/>
      <sheetName val="Pricing"/>
      <sheetName val="Options"/>
    </sheetNames>
    <sheetDataSet>
      <sheetData sheetId="0"/>
      <sheetData sheetId="1"/>
      <sheetData sheetId="2"/>
      <sheetData sheetId="3">
        <row r="33">
          <cell r="B33">
            <v>0</v>
          </cell>
          <cell r="C33">
            <v>203875000</v>
          </cell>
        </row>
        <row r="34">
          <cell r="B34">
            <v>10000000</v>
          </cell>
          <cell r="C34">
            <v>193875000</v>
          </cell>
        </row>
        <row r="35">
          <cell r="B35">
            <v>20000000</v>
          </cell>
          <cell r="C35">
            <v>207581112.15853858</v>
          </cell>
        </row>
        <row r="36">
          <cell r="B36">
            <v>30000000</v>
          </cell>
          <cell r="C36">
            <v>211448298.80917335</v>
          </cell>
        </row>
        <row r="37">
          <cell r="B37">
            <v>40000000</v>
          </cell>
          <cell r="C37">
            <v>211287224.31707704</v>
          </cell>
        </row>
        <row r="38">
          <cell r="B38">
            <v>50000000</v>
          </cell>
          <cell r="C38">
            <v>208918887.84146142</v>
          </cell>
        </row>
        <row r="39">
          <cell r="B39">
            <v>60000000</v>
          </cell>
          <cell r="C39">
            <v>205154410.96771193</v>
          </cell>
        </row>
        <row r="40">
          <cell r="B40">
            <v>70000000</v>
          </cell>
          <cell r="C40">
            <v>200426470.65112269</v>
          </cell>
        </row>
        <row r="41">
          <cell r="B41">
            <v>80000000</v>
          </cell>
          <cell r="C41">
            <v>194993336.4756155</v>
          </cell>
        </row>
        <row r="42">
          <cell r="B42">
            <v>90000000</v>
          </cell>
          <cell r="C42">
            <v>189021597.61834693</v>
          </cell>
        </row>
        <row r="43">
          <cell r="B43">
            <v>100000000</v>
          </cell>
          <cell r="C43">
            <v>182625000</v>
          </cell>
        </row>
        <row r="48">
          <cell r="C48">
            <v>25000000</v>
          </cell>
        </row>
        <row r="49">
          <cell r="B49">
            <v>200</v>
          </cell>
          <cell r="C49">
            <v>-18244486.294746995</v>
          </cell>
        </row>
        <row r="50">
          <cell r="B50">
            <v>210</v>
          </cell>
          <cell r="C50">
            <v>7099033.9675340652</v>
          </cell>
        </row>
        <row r="51">
          <cell r="B51">
            <v>220</v>
          </cell>
          <cell r="C51">
            <v>29942554.229815245</v>
          </cell>
        </row>
        <row r="52">
          <cell r="B52">
            <v>230</v>
          </cell>
          <cell r="C52">
            <v>50286074.492096424</v>
          </cell>
        </row>
        <row r="53">
          <cell r="B53">
            <v>240</v>
          </cell>
          <cell r="C53">
            <v>68129594.754377484</v>
          </cell>
        </row>
        <row r="54">
          <cell r="B54">
            <v>250</v>
          </cell>
          <cell r="C54">
            <v>83473115.016658604</v>
          </cell>
        </row>
        <row r="55">
          <cell r="B55">
            <v>260</v>
          </cell>
          <cell r="C55">
            <v>96316635.278939784</v>
          </cell>
        </row>
        <row r="56">
          <cell r="B56">
            <v>270</v>
          </cell>
          <cell r="C56">
            <v>106660155.5412209</v>
          </cell>
        </row>
        <row r="57">
          <cell r="B57">
            <v>280</v>
          </cell>
          <cell r="C57">
            <v>114503675.80350202</v>
          </cell>
        </row>
        <row r="58">
          <cell r="B58">
            <v>290</v>
          </cell>
          <cell r="C58">
            <v>119847196.06578314</v>
          </cell>
        </row>
        <row r="59">
          <cell r="B59">
            <v>300</v>
          </cell>
          <cell r="C59">
            <v>122690716.32806426</v>
          </cell>
        </row>
        <row r="60">
          <cell r="B60">
            <v>310</v>
          </cell>
          <cell r="C60">
            <v>123034236.59034538</v>
          </cell>
        </row>
        <row r="61">
          <cell r="B61">
            <v>320</v>
          </cell>
          <cell r="C61">
            <v>120877756.8526265</v>
          </cell>
        </row>
        <row r="62">
          <cell r="B62">
            <v>330</v>
          </cell>
          <cell r="C62">
            <v>116221277.11490762</v>
          </cell>
        </row>
        <row r="63">
          <cell r="B63">
            <v>340</v>
          </cell>
          <cell r="C63">
            <v>109064797.37718874</v>
          </cell>
        </row>
        <row r="64">
          <cell r="B64">
            <v>350</v>
          </cell>
          <cell r="C64">
            <v>99408317.639469862</v>
          </cell>
        </row>
        <row r="65">
          <cell r="B65">
            <v>360</v>
          </cell>
          <cell r="C65">
            <v>87251837.901751041</v>
          </cell>
        </row>
        <row r="66">
          <cell r="B66">
            <v>370</v>
          </cell>
          <cell r="C66">
            <v>72595358.164032131</v>
          </cell>
        </row>
        <row r="67">
          <cell r="B67">
            <v>380</v>
          </cell>
          <cell r="C67">
            <v>55438878.426313251</v>
          </cell>
        </row>
        <row r="68">
          <cell r="B68">
            <v>390</v>
          </cell>
          <cell r="C68">
            <v>35782398.688594371</v>
          </cell>
        </row>
        <row r="69">
          <cell r="B69">
            <v>400</v>
          </cell>
          <cell r="C69">
            <v>13625918.950875521</v>
          </cell>
        </row>
      </sheetData>
      <sheetData sheetId="4">
        <row r="2">
          <cell r="A2" t="str">
            <v>Decision Set 1</v>
          </cell>
        </row>
        <row r="3">
          <cell r="A3" t="str">
            <v>Decision Set 2</v>
          </cell>
        </row>
        <row r="4">
          <cell r="A4" t="str">
            <v>Decision Set 3</v>
          </cell>
        </row>
        <row r="5">
          <cell r="A5" t="str">
            <v>Decision Set 4</v>
          </cell>
        </row>
        <row r="8">
          <cell r="A8" t="str">
            <v>$C$3</v>
          </cell>
        </row>
        <row r="9">
          <cell r="A9" t="str">
            <v>$C$4</v>
          </cell>
        </row>
        <row r="10">
          <cell r="A10" t="str">
            <v>$C$5</v>
          </cell>
        </row>
        <row r="11">
          <cell r="A11" t="str">
            <v>$C$8</v>
          </cell>
        </row>
        <row r="12">
          <cell r="A12" t="str">
            <v>$C$9</v>
          </cell>
        </row>
        <row r="13">
          <cell r="A13" t="str">
            <v>$C$10</v>
          </cell>
        </row>
        <row r="14">
          <cell r="A14" t="str">
            <v>$C$13</v>
          </cell>
        </row>
        <row r="15">
          <cell r="A15" t="str">
            <v>$C$14</v>
          </cell>
        </row>
        <row r="18">
          <cell r="A18">
            <v>2350000</v>
          </cell>
        </row>
        <row r="19">
          <cell r="A19">
            <v>2375000</v>
          </cell>
        </row>
        <row r="20">
          <cell r="A20">
            <v>2400000</v>
          </cell>
        </row>
        <row r="21">
          <cell r="A21">
            <v>2425000</v>
          </cell>
        </row>
        <row r="22">
          <cell r="A22">
            <v>2450000</v>
          </cell>
        </row>
        <row r="23">
          <cell r="A23">
            <v>2475000</v>
          </cell>
        </row>
        <row r="24">
          <cell r="A24">
            <v>2500000</v>
          </cell>
        </row>
        <row r="25">
          <cell r="A25">
            <v>2525000</v>
          </cell>
        </row>
        <row r="26">
          <cell r="A26">
            <v>2550000</v>
          </cell>
        </row>
        <row r="27">
          <cell r="A27">
            <v>2575000</v>
          </cell>
        </row>
        <row r="28">
          <cell r="A28">
            <v>2600000</v>
          </cell>
        </row>
        <row r="29">
          <cell r="A29">
            <v>2625000</v>
          </cell>
        </row>
        <row r="30">
          <cell r="A30">
            <v>2650000</v>
          </cell>
        </row>
        <row r="31">
          <cell r="A31">
            <v>2675000</v>
          </cell>
        </row>
        <row r="32">
          <cell r="A32">
            <v>2700000</v>
          </cell>
        </row>
        <row r="33">
          <cell r="A33">
            <v>2725000</v>
          </cell>
        </row>
        <row r="34">
          <cell r="A34">
            <v>2750000</v>
          </cell>
        </row>
        <row r="35">
          <cell r="A35">
            <v>2775000</v>
          </cell>
        </row>
        <row r="36">
          <cell r="A36">
            <v>2800000</v>
          </cell>
        </row>
        <row r="37">
          <cell r="A37">
            <v>2825000</v>
          </cell>
        </row>
        <row r="38">
          <cell r="A38">
            <v>2850000</v>
          </cell>
        </row>
        <row r="39">
          <cell r="A39">
            <v>2875000</v>
          </cell>
        </row>
        <row r="40">
          <cell r="A40">
            <v>2900000</v>
          </cell>
        </row>
        <row r="43">
          <cell r="A43">
            <v>200</v>
          </cell>
        </row>
        <row r="44">
          <cell r="A44">
            <v>210</v>
          </cell>
        </row>
        <row r="45">
          <cell r="A45">
            <v>220</v>
          </cell>
        </row>
        <row r="46">
          <cell r="A46">
            <v>230</v>
          </cell>
        </row>
        <row r="47">
          <cell r="A47">
            <v>240</v>
          </cell>
        </row>
        <row r="48">
          <cell r="A48">
            <v>250</v>
          </cell>
        </row>
        <row r="49">
          <cell r="A49">
            <v>260</v>
          </cell>
        </row>
        <row r="50">
          <cell r="A50">
            <v>270</v>
          </cell>
        </row>
        <row r="51">
          <cell r="A51">
            <v>280</v>
          </cell>
        </row>
        <row r="52">
          <cell r="A52">
            <v>290</v>
          </cell>
        </row>
        <row r="53">
          <cell r="A53">
            <v>300</v>
          </cell>
        </row>
        <row r="54">
          <cell r="A54">
            <v>310</v>
          </cell>
        </row>
        <row r="55">
          <cell r="A55">
            <v>320</v>
          </cell>
        </row>
        <row r="56">
          <cell r="A56">
            <v>330</v>
          </cell>
        </row>
        <row r="57">
          <cell r="A57">
            <v>340</v>
          </cell>
        </row>
        <row r="58">
          <cell r="A58">
            <v>350</v>
          </cell>
        </row>
        <row r="61">
          <cell r="A61">
            <v>0</v>
          </cell>
        </row>
        <row r="62">
          <cell r="A62">
            <v>10000000</v>
          </cell>
        </row>
        <row r="63">
          <cell r="A63">
            <v>20000000</v>
          </cell>
        </row>
        <row r="64">
          <cell r="A64">
            <v>30000000</v>
          </cell>
        </row>
        <row r="65">
          <cell r="A65">
            <v>40000000</v>
          </cell>
        </row>
        <row r="66">
          <cell r="A66">
            <v>50000000</v>
          </cell>
        </row>
        <row r="67">
          <cell r="A67">
            <v>60000000</v>
          </cell>
        </row>
        <row r="68">
          <cell r="A68">
            <v>70000000</v>
          </cell>
        </row>
        <row r="69">
          <cell r="A69">
            <v>80000000</v>
          </cell>
        </row>
        <row r="70">
          <cell r="A70">
            <v>90000000</v>
          </cell>
        </row>
        <row r="71">
          <cell r="A71">
            <v>100000000</v>
          </cell>
        </row>
        <row r="74">
          <cell r="A74">
            <v>25000000</v>
          </cell>
        </row>
        <row r="75">
          <cell r="A75">
            <v>50000000</v>
          </cell>
        </row>
        <row r="76">
          <cell r="A76">
            <v>75000000</v>
          </cell>
        </row>
        <row r="79">
          <cell r="A79">
            <v>200</v>
          </cell>
        </row>
        <row r="80">
          <cell r="A80">
            <v>210</v>
          </cell>
        </row>
        <row r="81">
          <cell r="A81">
            <v>220</v>
          </cell>
        </row>
        <row r="82">
          <cell r="A82">
            <v>230</v>
          </cell>
        </row>
        <row r="83">
          <cell r="A83">
            <v>240</v>
          </cell>
        </row>
        <row r="84">
          <cell r="A84">
            <v>250</v>
          </cell>
        </row>
        <row r="85">
          <cell r="A85">
            <v>260</v>
          </cell>
        </row>
        <row r="86">
          <cell r="A86">
            <v>270</v>
          </cell>
        </row>
        <row r="87">
          <cell r="A87">
            <v>280</v>
          </cell>
        </row>
        <row r="88">
          <cell r="A88">
            <v>290</v>
          </cell>
        </row>
        <row r="89">
          <cell r="A89">
            <v>300</v>
          </cell>
        </row>
        <row r="90">
          <cell r="A90">
            <v>310</v>
          </cell>
        </row>
        <row r="91">
          <cell r="A91">
            <v>320</v>
          </cell>
        </row>
        <row r="92">
          <cell r="A92">
            <v>330</v>
          </cell>
        </row>
        <row r="93">
          <cell r="A93">
            <v>340</v>
          </cell>
        </row>
        <row r="94">
          <cell r="A94">
            <v>350</v>
          </cell>
        </row>
        <row r="95">
          <cell r="A95">
            <v>360</v>
          </cell>
        </row>
        <row r="96">
          <cell r="A96">
            <v>370</v>
          </cell>
        </row>
        <row r="97">
          <cell r="A97">
            <v>380</v>
          </cell>
        </row>
        <row r="98">
          <cell r="A98">
            <v>390</v>
          </cell>
        </row>
        <row r="99">
          <cell r="A99">
            <v>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able Macros"/>
      <sheetName val="Pie Chart"/>
    </sheetNames>
    <sheetDataSet>
      <sheetData sheetId="0"/>
      <sheetData sheetId="1">
        <row r="8">
          <cell r="C8">
            <v>2006</v>
          </cell>
        </row>
        <row r="15">
          <cell r="B15" t="str">
            <v>July</v>
          </cell>
          <cell r="C15">
            <v>0.39</v>
          </cell>
        </row>
        <row r="16">
          <cell r="B16" t="str">
            <v>August</v>
          </cell>
          <cell r="C16">
            <v>0.81</v>
          </cell>
        </row>
        <row r="17">
          <cell r="B17" t="str">
            <v>September</v>
          </cell>
          <cell r="C17">
            <v>2.0299999999999998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able Macros"/>
      <sheetName val="Stacked Column Chart"/>
    </sheetNames>
    <sheetDataSet>
      <sheetData sheetId="0"/>
      <sheetData sheetId="1">
        <row r="8">
          <cell r="C8">
            <v>2006</v>
          </cell>
          <cell r="D8">
            <v>2007</v>
          </cell>
          <cell r="E8">
            <v>2008</v>
          </cell>
          <cell r="F8">
            <v>2009</v>
          </cell>
          <cell r="G8">
            <v>2010</v>
          </cell>
        </row>
        <row r="12">
          <cell r="B12" t="str">
            <v>April</v>
          </cell>
          <cell r="C12">
            <v>3.38</v>
          </cell>
          <cell r="D12">
            <v>0.93</v>
          </cell>
          <cell r="E12">
            <v>0.28999999999999998</v>
          </cell>
          <cell r="F12">
            <v>4.6900000000000004</v>
          </cell>
          <cell r="G12">
            <v>2.68</v>
          </cell>
        </row>
        <row r="13">
          <cell r="B13" t="str">
            <v>May</v>
          </cell>
          <cell r="C13">
            <v>0.71</v>
          </cell>
          <cell r="D13">
            <v>1.26</v>
          </cell>
          <cell r="E13">
            <v>1.77</v>
          </cell>
          <cell r="F13">
            <v>1.76</v>
          </cell>
          <cell r="G13">
            <v>3.39</v>
          </cell>
        </row>
        <row r="14">
          <cell r="B14" t="str">
            <v>June</v>
          </cell>
          <cell r="C14">
            <v>0.88</v>
          </cell>
          <cell r="D14">
            <v>1.05</v>
          </cell>
          <cell r="E14">
            <v>0.32</v>
          </cell>
          <cell r="F14">
            <v>1.9</v>
          </cell>
          <cell r="G14">
            <v>0.93</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D578-260E-4388-B6F4-6C144DEACA07}">
  <dimension ref="A1:K45"/>
  <sheetViews>
    <sheetView tabSelected="1" workbookViewId="0">
      <selection activeCell="I12" sqref="I12"/>
    </sheetView>
  </sheetViews>
  <sheetFormatPr defaultColWidth="8.88671875" defaultRowHeight="14.4" x14ac:dyDescent="0.3"/>
  <cols>
    <col min="2" max="2" width="10.109375" bestFit="1" customWidth="1"/>
    <col min="3" max="3" width="21.77734375" bestFit="1" customWidth="1"/>
    <col min="4" max="5" width="13.44140625" bestFit="1" customWidth="1"/>
    <col min="6" max="6" width="10.33203125" bestFit="1" customWidth="1"/>
    <col min="7" max="7" width="10" bestFit="1" customWidth="1"/>
    <col min="9" max="9" width="13.88671875" bestFit="1" customWidth="1"/>
    <col min="10" max="10" width="5.33203125" bestFit="1" customWidth="1"/>
    <col min="11" max="11" width="52.77734375" customWidth="1"/>
  </cols>
  <sheetData>
    <row r="1" spans="1:11" ht="15" thickBot="1" x14ac:dyDescent="0.35">
      <c r="A1" s="51"/>
    </row>
    <row r="2" spans="1:11" ht="15" customHeight="1" x14ac:dyDescent="0.3">
      <c r="B2" s="143" t="s">
        <v>0</v>
      </c>
      <c r="C2" s="144"/>
      <c r="D2" s="144"/>
      <c r="E2" s="144"/>
      <c r="F2" s="144"/>
      <c r="G2" s="144"/>
      <c r="H2" s="144"/>
      <c r="I2" s="144"/>
      <c r="J2" s="144"/>
      <c r="K2" s="145"/>
    </row>
    <row r="3" spans="1:11" x14ac:dyDescent="0.3">
      <c r="B3" s="146"/>
      <c r="C3" s="147"/>
      <c r="D3" s="147"/>
      <c r="E3" s="147"/>
      <c r="F3" s="147"/>
      <c r="G3" s="147"/>
      <c r="H3" s="147"/>
      <c r="I3" s="147"/>
      <c r="J3" s="147"/>
      <c r="K3" s="148"/>
    </row>
    <row r="4" spans="1:11" x14ac:dyDescent="0.3">
      <c r="B4" s="146"/>
      <c r="C4" s="147"/>
      <c r="D4" s="147"/>
      <c r="E4" s="147"/>
      <c r="F4" s="147"/>
      <c r="G4" s="147"/>
      <c r="H4" s="147"/>
      <c r="I4" s="147"/>
      <c r="J4" s="147"/>
      <c r="K4" s="148"/>
    </row>
    <row r="5" spans="1:11" ht="15" thickBot="1" x14ac:dyDescent="0.35">
      <c r="B5" s="149"/>
      <c r="C5" s="150"/>
      <c r="D5" s="150"/>
      <c r="E5" s="150"/>
      <c r="F5" s="150"/>
      <c r="G5" s="150"/>
      <c r="H5" s="150"/>
      <c r="I5" s="150"/>
      <c r="J5" s="150"/>
      <c r="K5" s="151"/>
    </row>
    <row r="6" spans="1:11" x14ac:dyDescent="0.3">
      <c r="B6" s="140"/>
      <c r="C6" s="140"/>
      <c r="D6" s="140"/>
      <c r="E6" s="140"/>
      <c r="F6" s="140"/>
      <c r="G6" s="140"/>
      <c r="H6" s="140"/>
      <c r="I6" s="140"/>
      <c r="J6" s="140"/>
      <c r="K6" s="140"/>
    </row>
    <row r="7" spans="1:11" ht="15" thickBot="1" x14ac:dyDescent="0.35"/>
    <row r="8" spans="1:11" x14ac:dyDescent="0.3">
      <c r="B8" s="152" t="s">
        <v>1</v>
      </c>
      <c r="C8" s="153"/>
      <c r="D8" s="153"/>
      <c r="E8" s="153"/>
      <c r="F8" s="153"/>
      <c r="G8" s="154"/>
      <c r="I8" s="152" t="s">
        <v>2</v>
      </c>
      <c r="J8" s="153"/>
      <c r="K8" s="154"/>
    </row>
    <row r="9" spans="1:11" x14ac:dyDescent="0.3">
      <c r="B9" s="50" t="s">
        <v>3</v>
      </c>
      <c r="C9" s="49" t="s">
        <v>4</v>
      </c>
      <c r="D9" s="49" t="s">
        <v>5</v>
      </c>
      <c r="E9" s="141" t="s">
        <v>6</v>
      </c>
      <c r="F9" s="49" t="s">
        <v>7</v>
      </c>
      <c r="G9" s="48" t="s">
        <v>8</v>
      </c>
      <c r="I9" s="47" t="s">
        <v>9</v>
      </c>
      <c r="K9" s="46" t="s">
        <v>10</v>
      </c>
    </row>
    <row r="10" spans="1:11" x14ac:dyDescent="0.3">
      <c r="B10" s="45" t="s">
        <v>11</v>
      </c>
      <c r="C10" s="44" t="s">
        <v>12</v>
      </c>
      <c r="D10" s="43">
        <v>81612500</v>
      </c>
      <c r="E10" s="43">
        <v>10037084</v>
      </c>
      <c r="F10" s="42">
        <v>66</v>
      </c>
      <c r="G10" s="41">
        <v>76</v>
      </c>
      <c r="I10" s="40">
        <f>COUNT(G10:G39)</f>
        <v>26</v>
      </c>
      <c r="K10" s="28" t="s">
        <v>13</v>
      </c>
    </row>
    <row r="11" spans="1:11" x14ac:dyDescent="0.3">
      <c r="B11" s="34" t="s">
        <v>11</v>
      </c>
      <c r="C11" s="33" t="s">
        <v>14</v>
      </c>
      <c r="D11" s="32">
        <v>162447333</v>
      </c>
      <c r="E11" s="32">
        <v>20983333</v>
      </c>
      <c r="F11" s="31">
        <v>89</v>
      </c>
      <c r="G11" s="30">
        <v>88</v>
      </c>
      <c r="I11" s="29"/>
      <c r="K11" s="28"/>
    </row>
    <row r="12" spans="1:11" x14ac:dyDescent="0.3">
      <c r="B12" s="34" t="s">
        <v>11</v>
      </c>
      <c r="C12" s="33" t="s">
        <v>15</v>
      </c>
      <c r="D12" s="32">
        <v>206333389</v>
      </c>
      <c r="E12" s="32">
        <v>20991318</v>
      </c>
      <c r="F12" s="31">
        <v>95</v>
      </c>
      <c r="G12" s="30">
        <v>67</v>
      </c>
      <c r="I12" s="40">
        <f>COUNTA(F10:F39)</f>
        <v>30</v>
      </c>
      <c r="K12" s="28" t="s">
        <v>16</v>
      </c>
    </row>
    <row r="13" spans="1:11" x14ac:dyDescent="0.3">
      <c r="B13" s="34" t="s">
        <v>11</v>
      </c>
      <c r="C13" s="33" t="s">
        <v>17</v>
      </c>
      <c r="D13" s="32">
        <v>71923471</v>
      </c>
      <c r="E13" s="36" t="s">
        <v>18</v>
      </c>
      <c r="F13" s="31">
        <v>96</v>
      </c>
      <c r="G13" s="35" t="s">
        <v>18</v>
      </c>
      <c r="I13" s="29"/>
      <c r="K13" s="28"/>
    </row>
    <row r="14" spans="1:11" x14ac:dyDescent="0.3">
      <c r="B14" s="34" t="s">
        <v>11</v>
      </c>
      <c r="C14" s="33" t="s">
        <v>19</v>
      </c>
      <c r="D14" s="32">
        <v>62234000</v>
      </c>
      <c r="E14" s="32">
        <v>18486834</v>
      </c>
      <c r="F14" s="31">
        <v>85</v>
      </c>
      <c r="G14" s="30">
        <v>86</v>
      </c>
      <c r="I14" s="39">
        <f>SUM(E10:E39)</f>
        <v>454222925</v>
      </c>
      <c r="K14" s="28" t="s">
        <v>20</v>
      </c>
    </row>
    <row r="15" spans="1:11" x14ac:dyDescent="0.3">
      <c r="B15" s="34" t="s">
        <v>21</v>
      </c>
      <c r="C15" s="33" t="s">
        <v>22</v>
      </c>
      <c r="D15" s="32">
        <v>105530000</v>
      </c>
      <c r="E15" s="32">
        <v>9496238</v>
      </c>
      <c r="F15" s="31">
        <v>88</v>
      </c>
      <c r="G15" s="30">
        <v>94</v>
      </c>
      <c r="I15" s="29"/>
      <c r="K15" s="28"/>
    </row>
    <row r="16" spans="1:11" x14ac:dyDescent="0.3">
      <c r="B16" s="34" t="s">
        <v>21</v>
      </c>
      <c r="C16" s="33" t="s">
        <v>23</v>
      </c>
      <c r="D16" s="32">
        <v>61203966</v>
      </c>
      <c r="E16" s="32">
        <v>15152000</v>
      </c>
      <c r="F16" s="31">
        <v>69</v>
      </c>
      <c r="G16" s="30">
        <v>77</v>
      </c>
      <c r="I16" s="39">
        <f>SUM(D10:D39)</f>
        <v>2717759865</v>
      </c>
      <c r="K16" s="28" t="s">
        <v>24</v>
      </c>
    </row>
    <row r="17" spans="2:11" ht="15.75" customHeight="1" x14ac:dyDescent="0.3">
      <c r="B17" s="34" t="s">
        <v>21</v>
      </c>
      <c r="C17" s="33" t="s">
        <v>25</v>
      </c>
      <c r="D17" s="32">
        <v>122864928</v>
      </c>
      <c r="E17" s="32">
        <v>18092238</v>
      </c>
      <c r="F17" s="31">
        <v>81</v>
      </c>
      <c r="G17" s="30">
        <v>79</v>
      </c>
      <c r="I17" s="29"/>
      <c r="K17" s="28"/>
    </row>
    <row r="18" spans="2:11" x14ac:dyDescent="0.3">
      <c r="B18" s="34" t="s">
        <v>21</v>
      </c>
      <c r="C18" s="33" t="s">
        <v>26</v>
      </c>
      <c r="D18" s="32">
        <v>71405210</v>
      </c>
      <c r="E18" s="32">
        <v>23873745</v>
      </c>
      <c r="F18" s="31">
        <v>67</v>
      </c>
      <c r="G18" s="30">
        <v>75</v>
      </c>
      <c r="I18" s="39">
        <f>AVERAGE(E10:E39)</f>
        <v>17470112.5</v>
      </c>
      <c r="K18" s="28" t="s">
        <v>27</v>
      </c>
    </row>
    <row r="19" spans="2:11" x14ac:dyDescent="0.3">
      <c r="B19" s="34" t="s">
        <v>21</v>
      </c>
      <c r="C19" s="33" t="s">
        <v>28</v>
      </c>
      <c r="D19" s="32">
        <v>97559166</v>
      </c>
      <c r="E19" s="32">
        <v>15106000</v>
      </c>
      <c r="F19" s="31">
        <v>94</v>
      </c>
      <c r="G19" s="30">
        <v>74</v>
      </c>
      <c r="I19" s="29"/>
      <c r="K19" s="28"/>
    </row>
    <row r="20" spans="2:11" x14ac:dyDescent="0.3">
      <c r="B20" s="34" t="s">
        <v>29</v>
      </c>
      <c r="C20" s="33" t="s">
        <v>30</v>
      </c>
      <c r="D20" s="32">
        <v>104963866</v>
      </c>
      <c r="E20" s="32">
        <v>21870000</v>
      </c>
      <c r="F20" s="31">
        <v>80</v>
      </c>
      <c r="G20" s="30">
        <v>80</v>
      </c>
      <c r="I20" s="39">
        <f>AVERAGE(D10:D39)</f>
        <v>90591995.5</v>
      </c>
      <c r="K20" s="28" t="s">
        <v>31</v>
      </c>
    </row>
    <row r="21" spans="2:11" x14ac:dyDescent="0.3">
      <c r="B21" s="34" t="s">
        <v>29</v>
      </c>
      <c r="C21" s="33" t="s">
        <v>32</v>
      </c>
      <c r="D21" s="32">
        <v>51654900</v>
      </c>
      <c r="E21" s="32">
        <v>19987501</v>
      </c>
      <c r="F21" s="31">
        <v>81</v>
      </c>
      <c r="G21" s="30">
        <v>103</v>
      </c>
      <c r="I21" s="29"/>
      <c r="K21" s="28"/>
    </row>
    <row r="22" spans="2:11" x14ac:dyDescent="0.3">
      <c r="B22" s="34" t="s">
        <v>29</v>
      </c>
      <c r="C22" s="33" t="s">
        <v>33</v>
      </c>
      <c r="D22" s="32">
        <v>86510000</v>
      </c>
      <c r="E22" s="32">
        <v>12841667</v>
      </c>
      <c r="F22" s="31">
        <v>61</v>
      </c>
      <c r="G22" s="30">
        <v>77</v>
      </c>
      <c r="I22" s="39">
        <f>MAX(E10:E39)</f>
        <v>23873745</v>
      </c>
      <c r="K22" s="28" t="s">
        <v>34</v>
      </c>
    </row>
    <row r="23" spans="2:11" ht="15.75" customHeight="1" x14ac:dyDescent="0.3">
      <c r="B23" s="34" t="s">
        <v>29</v>
      </c>
      <c r="C23" s="33" t="s">
        <v>35</v>
      </c>
      <c r="D23" s="32">
        <v>55250544</v>
      </c>
      <c r="E23" s="32">
        <v>15104372</v>
      </c>
      <c r="F23" s="31">
        <v>90</v>
      </c>
      <c r="G23" s="30">
        <v>83</v>
      </c>
      <c r="I23" s="29"/>
      <c r="K23" s="28"/>
    </row>
    <row r="24" spans="2:11" ht="15" thickBot="1" x14ac:dyDescent="0.35">
      <c r="B24" s="34" t="s">
        <v>36</v>
      </c>
      <c r="C24" s="33" t="s">
        <v>37</v>
      </c>
      <c r="D24" s="32">
        <v>84423666</v>
      </c>
      <c r="E24" s="32">
        <v>13328334</v>
      </c>
      <c r="F24" s="31">
        <v>91</v>
      </c>
      <c r="G24" s="30">
        <v>65</v>
      </c>
      <c r="I24" s="38">
        <f>MIN(D10:D39)</f>
        <v>34943000</v>
      </c>
      <c r="J24" s="26"/>
      <c r="K24" s="25" t="s">
        <v>38</v>
      </c>
    </row>
    <row r="25" spans="2:11" ht="15.75" customHeight="1" x14ac:dyDescent="0.3">
      <c r="B25" s="34" t="s">
        <v>36</v>
      </c>
      <c r="C25" s="33" t="s">
        <v>39</v>
      </c>
      <c r="D25" s="32">
        <v>57029719</v>
      </c>
      <c r="E25" s="36" t="s">
        <v>18</v>
      </c>
      <c r="F25" s="31">
        <v>80</v>
      </c>
      <c r="G25" s="35" t="s">
        <v>18</v>
      </c>
    </row>
    <row r="26" spans="2:11" ht="15.75" customHeight="1" x14ac:dyDescent="0.3">
      <c r="B26" s="34" t="s">
        <v>36</v>
      </c>
      <c r="C26" s="33" t="s">
        <v>40</v>
      </c>
      <c r="D26" s="32">
        <v>134422942</v>
      </c>
      <c r="E26" s="32">
        <v>22418834</v>
      </c>
      <c r="F26" s="31">
        <v>79</v>
      </c>
      <c r="G26" s="30">
        <v>91</v>
      </c>
      <c r="I26" s="37"/>
      <c r="J26" s="135"/>
    </row>
    <row r="27" spans="2:11" x14ac:dyDescent="0.3">
      <c r="B27" s="34" t="s">
        <v>36</v>
      </c>
      <c r="C27" s="33" t="s">
        <v>41</v>
      </c>
      <c r="D27" s="32">
        <v>141928379</v>
      </c>
      <c r="E27" s="32">
        <v>13953667</v>
      </c>
      <c r="F27" s="31">
        <v>97</v>
      </c>
      <c r="G27" s="30">
        <v>77</v>
      </c>
    </row>
    <row r="28" spans="2:11" ht="15.75" customHeight="1" x14ac:dyDescent="0.3">
      <c r="B28" s="34" t="s">
        <v>36</v>
      </c>
      <c r="C28" s="33" t="s">
        <v>42</v>
      </c>
      <c r="D28" s="32">
        <v>61400000</v>
      </c>
      <c r="E28" s="32">
        <v>16656388</v>
      </c>
      <c r="F28" s="31">
        <v>69</v>
      </c>
      <c r="G28" s="30">
        <v>85</v>
      </c>
    </row>
    <row r="29" spans="2:11" ht="15.75" customHeight="1" x14ac:dyDescent="0.3">
      <c r="B29" s="34" t="s">
        <v>43</v>
      </c>
      <c r="C29" s="33" t="s">
        <v>44</v>
      </c>
      <c r="D29" s="32">
        <v>146609000</v>
      </c>
      <c r="E29" s="32">
        <v>14496000</v>
      </c>
      <c r="F29" s="31">
        <v>75</v>
      </c>
      <c r="G29" s="30">
        <v>77</v>
      </c>
    </row>
    <row r="30" spans="2:11" x14ac:dyDescent="0.3">
      <c r="B30" s="34" t="s">
        <v>43</v>
      </c>
      <c r="C30" s="33" t="s">
        <v>45</v>
      </c>
      <c r="D30" s="32">
        <v>71761542</v>
      </c>
      <c r="E30" s="32">
        <v>14769500</v>
      </c>
      <c r="F30" s="31">
        <v>91</v>
      </c>
      <c r="G30" s="30">
        <v>91</v>
      </c>
    </row>
    <row r="31" spans="2:11" ht="15.75" customHeight="1" x14ac:dyDescent="0.3">
      <c r="B31" s="34" t="s">
        <v>43</v>
      </c>
      <c r="C31" s="33" t="s">
        <v>46</v>
      </c>
      <c r="D31" s="32">
        <v>92355500</v>
      </c>
      <c r="E31" s="32">
        <v>18830000</v>
      </c>
      <c r="F31" s="31">
        <v>76</v>
      </c>
      <c r="G31" s="30">
        <v>75</v>
      </c>
    </row>
    <row r="32" spans="2:11" ht="15.75" customHeight="1" x14ac:dyDescent="0.3">
      <c r="B32" s="34" t="s">
        <v>43</v>
      </c>
      <c r="C32" s="33" t="s">
        <v>47</v>
      </c>
      <c r="D32" s="32">
        <v>81108278</v>
      </c>
      <c r="E32" s="32">
        <v>20019167</v>
      </c>
      <c r="F32" s="31">
        <v>77</v>
      </c>
      <c r="G32" s="30">
        <v>74</v>
      </c>
    </row>
    <row r="33" spans="2:7" x14ac:dyDescent="0.3">
      <c r="B33" s="34" t="s">
        <v>43</v>
      </c>
      <c r="C33" s="33" t="s">
        <v>48</v>
      </c>
      <c r="D33" s="32">
        <v>34943000</v>
      </c>
      <c r="E33" s="32">
        <v>15656000</v>
      </c>
      <c r="F33" s="31">
        <v>57</v>
      </c>
      <c r="G33" s="30">
        <v>95</v>
      </c>
    </row>
    <row r="34" spans="2:7" ht="15.75" customHeight="1" x14ac:dyDescent="0.3">
      <c r="B34" s="34" t="s">
        <v>43</v>
      </c>
      <c r="C34" s="33" t="s">
        <v>49</v>
      </c>
      <c r="D34" s="32">
        <v>93540751</v>
      </c>
      <c r="E34" s="32">
        <v>20923334</v>
      </c>
      <c r="F34" s="31">
        <v>86</v>
      </c>
      <c r="G34" s="30">
        <v>70</v>
      </c>
    </row>
    <row r="35" spans="2:7" ht="15.75" customHeight="1" x14ac:dyDescent="0.3">
      <c r="B35" s="34" t="s">
        <v>50</v>
      </c>
      <c r="C35" s="33" t="s">
        <v>51</v>
      </c>
      <c r="D35" s="32">
        <v>60718166</v>
      </c>
      <c r="E35" s="36" t="s">
        <v>18</v>
      </c>
      <c r="F35" s="31">
        <v>65</v>
      </c>
      <c r="G35" s="35" t="s">
        <v>18</v>
      </c>
    </row>
    <row r="36" spans="2:7" ht="15.75" customHeight="1" x14ac:dyDescent="0.3">
      <c r="B36" s="34" t="s">
        <v>50</v>
      </c>
      <c r="C36" s="33" t="s">
        <v>52</v>
      </c>
      <c r="D36" s="32">
        <v>84227000</v>
      </c>
      <c r="E36" s="36" t="s">
        <v>18</v>
      </c>
      <c r="F36" s="31">
        <v>83</v>
      </c>
      <c r="G36" s="35" t="s">
        <v>18</v>
      </c>
    </row>
    <row r="37" spans="2:7" x14ac:dyDescent="0.3">
      <c r="B37" s="34" t="s">
        <v>50</v>
      </c>
      <c r="C37" s="33" t="s">
        <v>53</v>
      </c>
      <c r="D37" s="32">
        <v>95358016</v>
      </c>
      <c r="E37" s="32">
        <v>21618704</v>
      </c>
      <c r="F37" s="31">
        <v>80</v>
      </c>
      <c r="G37" s="30">
        <v>86</v>
      </c>
    </row>
    <row r="38" spans="2:7" ht="15.75" customHeight="1" x14ac:dyDescent="0.3">
      <c r="B38" s="34" t="s">
        <v>50</v>
      </c>
      <c r="C38" s="33" t="s">
        <v>54</v>
      </c>
      <c r="D38" s="32">
        <v>37799300</v>
      </c>
      <c r="E38" s="32">
        <v>18588334</v>
      </c>
      <c r="F38" s="31">
        <v>90</v>
      </c>
      <c r="G38" s="30">
        <v>75</v>
      </c>
    </row>
    <row r="39" spans="2:7" x14ac:dyDescent="0.3">
      <c r="B39" s="34" t="s">
        <v>50</v>
      </c>
      <c r="C39" s="33" t="s">
        <v>55</v>
      </c>
      <c r="D39" s="32">
        <v>98641333</v>
      </c>
      <c r="E39" s="32">
        <v>20942333</v>
      </c>
      <c r="F39" s="31">
        <v>92</v>
      </c>
      <c r="G39" s="30">
        <v>85</v>
      </c>
    </row>
    <row r="40" spans="2:7" ht="15.75" customHeight="1" x14ac:dyDescent="0.3">
      <c r="B40" s="29" t="s">
        <v>56</v>
      </c>
      <c r="G40" s="28"/>
    </row>
    <row r="41" spans="2:7" ht="15.75" customHeight="1" thickBot="1" x14ac:dyDescent="0.35">
      <c r="B41" s="27" t="s">
        <v>57</v>
      </c>
      <c r="C41" s="26"/>
      <c r="D41" s="26"/>
      <c r="E41" s="26"/>
      <c r="F41" s="26"/>
      <c r="G41" s="25"/>
    </row>
    <row r="45" spans="2:7" ht="15.75" customHeight="1" x14ac:dyDescent="0.3"/>
  </sheetData>
  <mergeCells count="3">
    <mergeCell ref="B2:K5"/>
    <mergeCell ref="B8:G8"/>
    <mergeCell ref="I8:K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8992E-FFB4-4E52-93AD-130BBD76485B}">
  <dimension ref="A1:O1023"/>
  <sheetViews>
    <sheetView topLeftCell="C1" workbookViewId="0">
      <selection activeCell="H8" sqref="H8"/>
    </sheetView>
  </sheetViews>
  <sheetFormatPr defaultRowHeight="14.4" x14ac:dyDescent="0.3"/>
  <cols>
    <col min="2" max="5" width="12.6640625" customWidth="1"/>
    <col min="7" max="7" width="13.21875" customWidth="1"/>
    <col min="8" max="9" width="12.6640625" customWidth="1"/>
    <col min="10" max="10" width="12.5546875" customWidth="1"/>
    <col min="11" max="11" width="1.88671875" customWidth="1"/>
  </cols>
  <sheetData>
    <row r="1" spans="1:11" ht="15" thickBot="1" x14ac:dyDescent="0.35">
      <c r="A1" s="3"/>
    </row>
    <row r="2" spans="1:11" x14ac:dyDescent="0.3">
      <c r="B2" s="156" t="s">
        <v>58</v>
      </c>
      <c r="C2" s="157"/>
      <c r="D2" s="157"/>
      <c r="E2" s="158"/>
      <c r="G2" s="159" t="s">
        <v>59</v>
      </c>
      <c r="H2" s="160"/>
      <c r="I2" s="160"/>
      <c r="J2" s="160"/>
      <c r="K2" s="161"/>
    </row>
    <row r="3" spans="1:11" x14ac:dyDescent="0.3">
      <c r="B3" s="78" t="s">
        <v>60</v>
      </c>
      <c r="C3" s="62" t="s">
        <v>61</v>
      </c>
      <c r="D3" s="62" t="s">
        <v>62</v>
      </c>
      <c r="E3" s="77" t="s">
        <v>63</v>
      </c>
      <c r="G3" s="29"/>
      <c r="K3" s="28"/>
    </row>
    <row r="4" spans="1:11" ht="15" customHeight="1" x14ac:dyDescent="0.3">
      <c r="B4" s="133">
        <v>1</v>
      </c>
      <c r="C4" s="132">
        <v>185.22</v>
      </c>
      <c r="D4" s="132">
        <v>72.739999999999995</v>
      </c>
      <c r="E4" s="131">
        <v>24.61</v>
      </c>
      <c r="G4" s="29"/>
      <c r="H4" s="141" t="s">
        <v>61</v>
      </c>
      <c r="I4" s="141" t="s">
        <v>62</v>
      </c>
      <c r="J4" s="141" t="s">
        <v>63</v>
      </c>
      <c r="K4" s="28"/>
    </row>
    <row r="5" spans="1:11" x14ac:dyDescent="0.3">
      <c r="B5" s="126">
        <v>2</v>
      </c>
      <c r="C5" s="125">
        <v>173.09</v>
      </c>
      <c r="D5" s="125">
        <v>69.03</v>
      </c>
      <c r="E5" s="124">
        <v>25.53</v>
      </c>
      <c r="G5" s="91" t="s">
        <v>64</v>
      </c>
      <c r="H5" s="129">
        <f>COUNT(C4:C203)</f>
        <v>200</v>
      </c>
      <c r="K5" s="28"/>
    </row>
    <row r="6" spans="1:11" x14ac:dyDescent="0.3">
      <c r="B6" s="126">
        <v>3</v>
      </c>
      <c r="C6" s="125">
        <v>173.24</v>
      </c>
      <c r="D6" s="125">
        <v>70.209999999999994</v>
      </c>
      <c r="E6" s="124">
        <v>24.71</v>
      </c>
      <c r="G6" s="91" t="s">
        <v>65</v>
      </c>
      <c r="H6" s="129">
        <f>AVERAGE(C4:C203)</f>
        <v>173.66650000000001</v>
      </c>
      <c r="I6" s="129">
        <f>AVERAGE(D4:D203)</f>
        <v>70.152199999999993</v>
      </c>
      <c r="J6" s="129">
        <f>AVERAGE(E4:E203)</f>
        <v>24.776599999999988</v>
      </c>
      <c r="K6" s="28"/>
    </row>
    <row r="7" spans="1:11" x14ac:dyDescent="0.3">
      <c r="B7" s="126">
        <v>4</v>
      </c>
      <c r="C7" s="125">
        <v>155.81</v>
      </c>
      <c r="D7" s="125">
        <v>68.760000000000005</v>
      </c>
      <c r="E7" s="124">
        <v>23.17</v>
      </c>
      <c r="G7" s="91" t="s">
        <v>66</v>
      </c>
      <c r="H7" s="129">
        <f>_xlfn.STDEV.S(C4:C203)</f>
        <v>32.445002027009295</v>
      </c>
      <c r="I7" s="129">
        <f>_xlfn.STDEV.S(D4:D203)</f>
        <v>1.8642748627332544</v>
      </c>
      <c r="J7" s="129">
        <f>_xlfn.STDEV.S(E4:E203)</f>
        <v>4.3354991876404343</v>
      </c>
      <c r="K7" s="28"/>
    </row>
    <row r="8" spans="1:11" x14ac:dyDescent="0.3">
      <c r="B8" s="126">
        <v>5</v>
      </c>
      <c r="C8" s="125">
        <v>162.83000000000001</v>
      </c>
      <c r="D8" s="125">
        <v>70.94</v>
      </c>
      <c r="E8" s="124">
        <v>22.75</v>
      </c>
      <c r="G8" s="91" t="s">
        <v>67</v>
      </c>
      <c r="H8" s="130">
        <f>_xlfn.CONFIDENCE.NORM(0.05,H7,$H5)</f>
        <v>4.4965652390265225</v>
      </c>
      <c r="I8" s="130">
        <f>_xlfn.CONFIDENCE.NORM(0.05,I7,$H5)</f>
        <v>0.25837056619009868</v>
      </c>
      <c r="J8" s="130">
        <f>_xlfn.CONFIDENCE.NORM(0.05,J7,$H5)</f>
        <v>0.6008584904615798</v>
      </c>
      <c r="K8" s="28"/>
    </row>
    <row r="9" spans="1:11" x14ac:dyDescent="0.3">
      <c r="B9" s="126">
        <v>6</v>
      </c>
      <c r="C9" s="125">
        <v>141.69</v>
      </c>
      <c r="D9" s="125">
        <v>67.5</v>
      </c>
      <c r="E9" s="124">
        <v>21.86</v>
      </c>
      <c r="G9" s="29"/>
      <c r="K9" s="28"/>
    </row>
    <row r="10" spans="1:11" ht="15" customHeight="1" x14ac:dyDescent="0.3">
      <c r="B10" s="126">
        <v>7</v>
      </c>
      <c r="C10" s="125">
        <v>194.85</v>
      </c>
      <c r="D10" s="125">
        <v>76.92</v>
      </c>
      <c r="E10" s="124">
        <v>23.15</v>
      </c>
      <c r="G10" s="29"/>
      <c r="H10" s="162" t="s">
        <v>68</v>
      </c>
      <c r="I10" s="162"/>
      <c r="J10" s="162"/>
      <c r="K10" s="28"/>
    </row>
    <row r="11" spans="1:11" x14ac:dyDescent="0.3">
      <c r="B11" s="126">
        <v>8</v>
      </c>
      <c r="C11" s="125">
        <v>201.81</v>
      </c>
      <c r="D11" s="125">
        <v>70.739999999999995</v>
      </c>
      <c r="E11" s="124">
        <v>28.35</v>
      </c>
      <c r="G11" s="29"/>
      <c r="H11" s="1" t="s">
        <v>69</v>
      </c>
      <c r="J11" s="129">
        <f>CORREL(D4:D203,C4:C203)</f>
        <v>0.35044570519381807</v>
      </c>
      <c r="K11" s="28"/>
    </row>
    <row r="12" spans="1:11" x14ac:dyDescent="0.3">
      <c r="B12" s="126">
        <v>9</v>
      </c>
      <c r="C12" s="125">
        <v>136.97999999999999</v>
      </c>
      <c r="D12" s="125">
        <v>63.36</v>
      </c>
      <c r="E12" s="124">
        <v>23.99</v>
      </c>
      <c r="G12" s="29"/>
      <c r="K12" s="28"/>
    </row>
    <row r="13" spans="1:11" ht="15" customHeight="1" x14ac:dyDescent="0.3">
      <c r="B13" s="126">
        <v>10</v>
      </c>
      <c r="C13" s="125">
        <v>156.22</v>
      </c>
      <c r="D13" s="125">
        <v>70.400000000000006</v>
      </c>
      <c r="E13" s="124">
        <v>22.16</v>
      </c>
      <c r="G13" s="29"/>
      <c r="H13" s="163" t="s">
        <v>70</v>
      </c>
      <c r="I13" s="163"/>
      <c r="J13" s="163"/>
      <c r="K13" s="28"/>
    </row>
    <row r="14" spans="1:11" x14ac:dyDescent="0.3">
      <c r="B14" s="126">
        <v>11</v>
      </c>
      <c r="C14" s="125">
        <v>194.71</v>
      </c>
      <c r="D14" s="125">
        <v>70.61</v>
      </c>
      <c r="E14" s="124">
        <v>27.46</v>
      </c>
      <c r="G14" s="29"/>
      <c r="H14" s="1" t="s">
        <v>71</v>
      </c>
      <c r="J14" s="2">
        <v>70</v>
      </c>
      <c r="K14" s="28"/>
    </row>
    <row r="15" spans="1:11" x14ac:dyDescent="0.3">
      <c r="B15" s="126">
        <v>12</v>
      </c>
      <c r="C15" s="125">
        <v>125.78</v>
      </c>
      <c r="D15" s="125">
        <v>72.47</v>
      </c>
      <c r="E15" s="124">
        <v>16.84</v>
      </c>
      <c r="G15" s="29"/>
      <c r="H15" s="1" t="s">
        <v>72</v>
      </c>
      <c r="J15" s="129">
        <f>FORECAST(J14,C4:C203,D4:D203)</f>
        <v>172.73823226306232</v>
      </c>
      <c r="K15" s="28"/>
    </row>
    <row r="16" spans="1:11" x14ac:dyDescent="0.3">
      <c r="B16" s="126">
        <v>13</v>
      </c>
      <c r="C16" s="125">
        <v>183.75</v>
      </c>
      <c r="D16" s="125">
        <v>70.819999999999993</v>
      </c>
      <c r="E16" s="124">
        <v>25.76</v>
      </c>
      <c r="G16" s="29"/>
      <c r="K16" s="28"/>
    </row>
    <row r="17" spans="2:12" x14ac:dyDescent="0.3">
      <c r="B17" s="126">
        <v>14</v>
      </c>
      <c r="C17" s="125">
        <v>128.15</v>
      </c>
      <c r="D17" s="125">
        <v>71.02</v>
      </c>
      <c r="E17" s="124">
        <v>17.86</v>
      </c>
      <c r="G17" s="29"/>
      <c r="H17" s="162" t="s">
        <v>73</v>
      </c>
      <c r="I17" s="162"/>
      <c r="J17" s="162"/>
      <c r="K17" s="28"/>
    </row>
    <row r="18" spans="2:12" x14ac:dyDescent="0.3">
      <c r="B18" s="126">
        <v>15</v>
      </c>
      <c r="C18" s="125">
        <v>202.77</v>
      </c>
      <c r="D18" s="125">
        <v>70</v>
      </c>
      <c r="E18" s="124">
        <v>29.09</v>
      </c>
      <c r="G18" s="29"/>
      <c r="H18" s="1" t="s">
        <v>74</v>
      </c>
      <c r="J18" s="129">
        <f>J15-H8</f>
        <v>168.24166702403579</v>
      </c>
      <c r="K18" s="28"/>
    </row>
    <row r="19" spans="2:12" ht="15" thickBot="1" x14ac:dyDescent="0.35">
      <c r="B19" s="126">
        <v>16</v>
      </c>
      <c r="C19" s="125">
        <v>154.38999999999999</v>
      </c>
      <c r="D19" s="125">
        <v>70.06</v>
      </c>
      <c r="E19" s="124">
        <v>22.11</v>
      </c>
      <c r="G19" s="27"/>
      <c r="H19" s="128" t="s">
        <v>75</v>
      </c>
      <c r="I19" s="26"/>
      <c r="J19" s="127">
        <f>J15+H8</f>
        <v>177.23479750208884</v>
      </c>
      <c r="K19" s="25"/>
    </row>
    <row r="20" spans="2:12" x14ac:dyDescent="0.3">
      <c r="B20" s="126">
        <v>17</v>
      </c>
      <c r="C20" s="125">
        <v>139.91</v>
      </c>
      <c r="D20" s="125">
        <v>70.349999999999994</v>
      </c>
      <c r="E20" s="124">
        <v>19.87</v>
      </c>
    </row>
    <row r="21" spans="2:12" ht="15" customHeight="1" x14ac:dyDescent="0.3">
      <c r="B21" s="126">
        <v>18</v>
      </c>
      <c r="C21" s="125">
        <v>200.67</v>
      </c>
      <c r="D21" s="125">
        <v>72.92</v>
      </c>
      <c r="E21" s="124">
        <v>26.53</v>
      </c>
      <c r="G21" s="155" t="s">
        <v>76</v>
      </c>
      <c r="H21" s="155"/>
      <c r="I21" s="155"/>
      <c r="J21" s="155"/>
    </row>
    <row r="22" spans="2:12" x14ac:dyDescent="0.3">
      <c r="B22" s="126">
        <v>19</v>
      </c>
      <c r="C22" s="125">
        <v>206.44</v>
      </c>
      <c r="D22" s="125">
        <v>72.77</v>
      </c>
      <c r="E22" s="124">
        <v>27.41</v>
      </c>
      <c r="G22" s="155"/>
      <c r="H22" s="155"/>
      <c r="I22" s="155"/>
      <c r="J22" s="155"/>
    </row>
    <row r="23" spans="2:12" x14ac:dyDescent="0.3">
      <c r="B23" s="126">
        <v>20</v>
      </c>
      <c r="C23" s="125">
        <v>250.26</v>
      </c>
      <c r="D23" s="125">
        <v>79.44</v>
      </c>
      <c r="E23" s="124">
        <v>27.88</v>
      </c>
      <c r="K23" s="3"/>
    </row>
    <row r="24" spans="2:12" ht="15" customHeight="1" x14ac:dyDescent="0.3">
      <c r="B24" s="126">
        <v>21</v>
      </c>
      <c r="C24" s="125">
        <v>153.79</v>
      </c>
      <c r="D24" s="125">
        <v>70.09</v>
      </c>
      <c r="E24" s="124">
        <v>22.01</v>
      </c>
      <c r="G24" s="155" t="s">
        <v>77</v>
      </c>
      <c r="H24" s="155"/>
      <c r="I24" s="155"/>
      <c r="J24" s="155"/>
      <c r="K24" s="3"/>
    </row>
    <row r="25" spans="2:12" x14ac:dyDescent="0.3">
      <c r="B25" s="126">
        <v>22</v>
      </c>
      <c r="C25" s="125">
        <v>219.13</v>
      </c>
      <c r="D25" s="125">
        <v>72.38</v>
      </c>
      <c r="E25" s="124">
        <v>29.41</v>
      </c>
      <c r="G25" s="155"/>
      <c r="H25" s="155"/>
      <c r="I25" s="155"/>
      <c r="J25" s="155"/>
      <c r="K25" s="3"/>
    </row>
    <row r="26" spans="2:12" x14ac:dyDescent="0.3">
      <c r="B26" s="126">
        <v>23</v>
      </c>
      <c r="C26" s="125">
        <v>181.56</v>
      </c>
      <c r="D26" s="125">
        <v>70.930000000000007</v>
      </c>
      <c r="E26" s="124">
        <v>25.37</v>
      </c>
      <c r="G26" s="155"/>
      <c r="H26" s="155"/>
      <c r="I26" s="155"/>
      <c r="J26" s="155"/>
      <c r="K26" s="3"/>
      <c r="L26" s="3"/>
    </row>
    <row r="27" spans="2:12" x14ac:dyDescent="0.3">
      <c r="B27" s="126">
        <v>24</v>
      </c>
      <c r="C27" s="125">
        <v>166.69</v>
      </c>
      <c r="D27" s="125">
        <v>70.58</v>
      </c>
      <c r="E27" s="124">
        <v>23.53</v>
      </c>
      <c r="K27" s="3"/>
      <c r="L27" s="3"/>
    </row>
    <row r="28" spans="2:12" x14ac:dyDescent="0.3">
      <c r="B28" s="126">
        <v>25</v>
      </c>
      <c r="C28" s="125">
        <v>207.97</v>
      </c>
      <c r="D28" s="125">
        <v>68.89</v>
      </c>
      <c r="E28" s="124">
        <v>30.8</v>
      </c>
      <c r="K28" s="3"/>
      <c r="L28" s="3"/>
    </row>
    <row r="29" spans="2:12" x14ac:dyDescent="0.3">
      <c r="B29" s="126">
        <v>26</v>
      </c>
      <c r="C29" s="125">
        <v>119.41</v>
      </c>
      <c r="D29" s="125">
        <v>71.430000000000007</v>
      </c>
      <c r="E29" s="124">
        <v>16.45</v>
      </c>
      <c r="K29" s="3"/>
      <c r="L29" s="3"/>
    </row>
    <row r="30" spans="2:12" ht="15" customHeight="1" x14ac:dyDescent="0.3">
      <c r="B30" s="126">
        <v>27</v>
      </c>
      <c r="C30" s="125">
        <v>207.78</v>
      </c>
      <c r="D30" s="125">
        <v>68.94</v>
      </c>
      <c r="E30" s="124">
        <v>30.74</v>
      </c>
      <c r="K30" s="3"/>
      <c r="L30" s="3"/>
    </row>
    <row r="31" spans="2:12" x14ac:dyDescent="0.3">
      <c r="B31" s="126">
        <v>28</v>
      </c>
      <c r="C31" s="125">
        <v>168.17</v>
      </c>
      <c r="D31" s="125">
        <v>68.88</v>
      </c>
      <c r="E31" s="124">
        <v>24.92</v>
      </c>
      <c r="K31" s="3"/>
      <c r="L31" s="3"/>
    </row>
    <row r="32" spans="2:12" x14ac:dyDescent="0.3">
      <c r="B32" s="126">
        <v>29</v>
      </c>
      <c r="C32" s="125">
        <v>178.07</v>
      </c>
      <c r="D32" s="125">
        <v>68.66</v>
      </c>
      <c r="E32" s="124">
        <v>26.55</v>
      </c>
      <c r="K32" s="3"/>
      <c r="L32" s="3"/>
    </row>
    <row r="33" spans="2:12" x14ac:dyDescent="0.3">
      <c r="B33" s="126">
        <v>30</v>
      </c>
      <c r="C33" s="125">
        <v>187.84</v>
      </c>
      <c r="D33" s="125">
        <v>71.56</v>
      </c>
      <c r="E33" s="124">
        <v>25.78</v>
      </c>
      <c r="K33" s="3"/>
      <c r="L33" s="3"/>
    </row>
    <row r="34" spans="2:12" x14ac:dyDescent="0.3">
      <c r="B34" s="126">
        <v>31</v>
      </c>
      <c r="C34" s="125">
        <v>199.66</v>
      </c>
      <c r="D34" s="125">
        <v>68.38</v>
      </c>
      <c r="E34" s="124">
        <v>30.02</v>
      </c>
      <c r="K34" s="3"/>
      <c r="L34" s="3"/>
    </row>
    <row r="35" spans="2:12" x14ac:dyDescent="0.3">
      <c r="B35" s="126">
        <v>32</v>
      </c>
      <c r="C35" s="125">
        <v>208.32</v>
      </c>
      <c r="D35" s="125">
        <v>70.92</v>
      </c>
      <c r="E35" s="124">
        <v>29.11</v>
      </c>
      <c r="K35" s="3"/>
      <c r="L35" s="3"/>
    </row>
    <row r="36" spans="2:12" x14ac:dyDescent="0.3">
      <c r="B36" s="126">
        <v>33</v>
      </c>
      <c r="C36" s="125">
        <v>208.27</v>
      </c>
      <c r="D36" s="125">
        <v>70.83</v>
      </c>
      <c r="E36" s="124">
        <v>29.18</v>
      </c>
      <c r="K36" s="3"/>
      <c r="L36" s="3"/>
    </row>
    <row r="37" spans="2:12" x14ac:dyDescent="0.3">
      <c r="B37" s="126">
        <v>34</v>
      </c>
      <c r="C37" s="125">
        <v>205.41</v>
      </c>
      <c r="D37" s="125">
        <v>70.760000000000005</v>
      </c>
      <c r="E37" s="124">
        <v>28.84</v>
      </c>
      <c r="K37" s="3"/>
      <c r="L37" s="3"/>
    </row>
    <row r="38" spans="2:12" x14ac:dyDescent="0.3">
      <c r="B38" s="126">
        <v>35</v>
      </c>
      <c r="C38" s="125">
        <v>188.97</v>
      </c>
      <c r="D38" s="125">
        <v>72.650000000000006</v>
      </c>
      <c r="E38" s="124">
        <v>25.17</v>
      </c>
      <c r="K38" s="3"/>
      <c r="L38" s="3"/>
    </row>
    <row r="39" spans="2:12" x14ac:dyDescent="0.3">
      <c r="B39" s="126">
        <v>36</v>
      </c>
      <c r="C39" s="125">
        <v>181.26</v>
      </c>
      <c r="D39" s="125">
        <v>69.16</v>
      </c>
      <c r="E39" s="124">
        <v>26.64</v>
      </c>
      <c r="K39" s="3"/>
      <c r="L39" s="3"/>
    </row>
    <row r="40" spans="2:12" x14ac:dyDescent="0.3">
      <c r="B40" s="126">
        <v>37</v>
      </c>
      <c r="C40" s="125">
        <v>206.8</v>
      </c>
      <c r="D40" s="125">
        <v>68.23</v>
      </c>
      <c r="E40" s="124">
        <v>31.23</v>
      </c>
      <c r="K40" s="3"/>
      <c r="L40" s="3"/>
    </row>
    <row r="41" spans="2:12" x14ac:dyDescent="0.3">
      <c r="B41" s="126">
        <v>38</v>
      </c>
      <c r="C41" s="125">
        <v>166.96</v>
      </c>
      <c r="D41" s="125">
        <v>67.23</v>
      </c>
      <c r="E41" s="124">
        <v>25.97</v>
      </c>
      <c r="K41" s="3"/>
      <c r="L41" s="3"/>
    </row>
    <row r="42" spans="2:12" x14ac:dyDescent="0.3">
      <c r="B42" s="126">
        <v>39</v>
      </c>
      <c r="C42" s="125">
        <v>163.82</v>
      </c>
      <c r="D42" s="125">
        <v>67.22</v>
      </c>
      <c r="E42" s="124">
        <v>25.49</v>
      </c>
      <c r="K42" s="3"/>
      <c r="L42" s="3"/>
    </row>
    <row r="43" spans="2:12" x14ac:dyDescent="0.3">
      <c r="B43" s="126">
        <v>40</v>
      </c>
      <c r="C43" s="125">
        <v>174.02</v>
      </c>
      <c r="D43" s="125">
        <v>69.59</v>
      </c>
      <c r="E43" s="124">
        <v>25.27</v>
      </c>
      <c r="K43" s="3"/>
      <c r="L43" s="3"/>
    </row>
    <row r="44" spans="2:12" x14ac:dyDescent="0.3">
      <c r="B44" s="126">
        <v>41</v>
      </c>
      <c r="C44" s="125">
        <v>226.85</v>
      </c>
      <c r="D44" s="125">
        <v>72.430000000000007</v>
      </c>
      <c r="E44" s="124">
        <v>30.4</v>
      </c>
      <c r="K44" s="3"/>
      <c r="L44" s="3"/>
    </row>
    <row r="45" spans="2:12" x14ac:dyDescent="0.3">
      <c r="B45" s="126">
        <v>42</v>
      </c>
      <c r="C45" s="125">
        <v>141.77000000000001</v>
      </c>
      <c r="D45" s="125">
        <v>71.42</v>
      </c>
      <c r="E45" s="124">
        <v>19.54</v>
      </c>
      <c r="K45" s="3"/>
      <c r="L45" s="3"/>
    </row>
    <row r="46" spans="2:12" x14ac:dyDescent="0.3">
      <c r="B46" s="126">
        <v>43</v>
      </c>
      <c r="C46" s="125">
        <v>150.46</v>
      </c>
      <c r="D46" s="125">
        <v>68.61</v>
      </c>
      <c r="E46" s="124">
        <v>22.47</v>
      </c>
      <c r="K46" s="3"/>
      <c r="L46" s="3"/>
    </row>
    <row r="47" spans="2:12" x14ac:dyDescent="0.3">
      <c r="B47" s="126">
        <v>44</v>
      </c>
      <c r="C47" s="125">
        <v>173.39</v>
      </c>
      <c r="D47" s="125">
        <v>67.14</v>
      </c>
      <c r="E47" s="124">
        <v>27.04</v>
      </c>
      <c r="K47" s="3"/>
      <c r="L47" s="3"/>
    </row>
    <row r="48" spans="2:12" x14ac:dyDescent="0.3">
      <c r="B48" s="126">
        <v>45</v>
      </c>
      <c r="C48" s="125">
        <v>158.68</v>
      </c>
      <c r="D48" s="125">
        <v>71.040000000000006</v>
      </c>
      <c r="E48" s="124">
        <v>22.1</v>
      </c>
      <c r="K48" s="3"/>
      <c r="L48" s="3"/>
    </row>
    <row r="49" spans="2:12" x14ac:dyDescent="0.3">
      <c r="B49" s="126">
        <v>46</v>
      </c>
      <c r="C49" s="125">
        <v>164.49</v>
      </c>
      <c r="D49" s="125">
        <v>71.33</v>
      </c>
      <c r="E49" s="124">
        <v>22.73</v>
      </c>
      <c r="K49" s="3"/>
      <c r="L49" s="3"/>
    </row>
    <row r="50" spans="2:12" x14ac:dyDescent="0.3">
      <c r="B50" s="126">
        <v>47</v>
      </c>
      <c r="C50" s="125">
        <v>167.28</v>
      </c>
      <c r="D50" s="125">
        <v>70.22</v>
      </c>
      <c r="E50" s="124">
        <v>23.85</v>
      </c>
      <c r="K50" s="3"/>
      <c r="L50" s="3"/>
    </row>
    <row r="51" spans="2:12" x14ac:dyDescent="0.3">
      <c r="B51" s="126">
        <v>48</v>
      </c>
      <c r="C51" s="125">
        <v>178.51</v>
      </c>
      <c r="D51" s="125">
        <v>70.5</v>
      </c>
      <c r="E51" s="124">
        <v>25.25</v>
      </c>
      <c r="K51" s="3"/>
      <c r="L51" s="3"/>
    </row>
    <row r="52" spans="2:12" x14ac:dyDescent="0.3">
      <c r="B52" s="126">
        <v>49</v>
      </c>
      <c r="C52" s="125">
        <v>152.66</v>
      </c>
      <c r="D52" s="125">
        <v>69.22</v>
      </c>
      <c r="E52" s="124">
        <v>22.4</v>
      </c>
      <c r="K52" s="3"/>
      <c r="L52" s="3"/>
    </row>
    <row r="53" spans="2:12" x14ac:dyDescent="0.3">
      <c r="B53" s="126">
        <v>50</v>
      </c>
      <c r="C53" s="125">
        <v>181.85</v>
      </c>
      <c r="D53" s="125">
        <v>71.58</v>
      </c>
      <c r="E53" s="124">
        <v>24.95</v>
      </c>
      <c r="K53" s="3"/>
      <c r="L53" s="3"/>
    </row>
    <row r="54" spans="2:12" x14ac:dyDescent="0.3">
      <c r="B54" s="126">
        <v>51</v>
      </c>
      <c r="C54" s="125">
        <v>161.28</v>
      </c>
      <c r="D54" s="125">
        <v>69.34</v>
      </c>
      <c r="E54" s="124">
        <v>23.58</v>
      </c>
      <c r="K54" s="3"/>
      <c r="L54" s="3"/>
    </row>
    <row r="55" spans="2:12" x14ac:dyDescent="0.3">
      <c r="B55" s="126">
        <v>52</v>
      </c>
      <c r="C55" s="125">
        <v>158.09</v>
      </c>
      <c r="D55" s="125">
        <v>69.709999999999994</v>
      </c>
      <c r="E55" s="124">
        <v>22.87</v>
      </c>
      <c r="K55" s="3"/>
      <c r="L55" s="3"/>
    </row>
    <row r="56" spans="2:12" x14ac:dyDescent="0.3">
      <c r="B56" s="126">
        <v>53</v>
      </c>
      <c r="C56" s="125">
        <v>313.64999999999998</v>
      </c>
      <c r="D56" s="125">
        <v>71.33</v>
      </c>
      <c r="E56" s="124">
        <v>43.33</v>
      </c>
      <c r="K56" s="3"/>
      <c r="L56" s="3"/>
    </row>
    <row r="57" spans="2:12" x14ac:dyDescent="0.3">
      <c r="B57" s="126">
        <v>54</v>
      </c>
      <c r="C57" s="125">
        <v>217.8</v>
      </c>
      <c r="D57" s="125">
        <v>70.53</v>
      </c>
      <c r="E57" s="124">
        <v>30.78</v>
      </c>
      <c r="K57" s="3"/>
      <c r="L57" s="3"/>
    </row>
    <row r="58" spans="2:12" x14ac:dyDescent="0.3">
      <c r="B58" s="126">
        <v>55</v>
      </c>
      <c r="C58" s="125">
        <v>182.51</v>
      </c>
      <c r="D58" s="125">
        <v>68.47</v>
      </c>
      <c r="E58" s="124">
        <v>27.37</v>
      </c>
      <c r="K58" s="3"/>
      <c r="L58" s="3"/>
    </row>
    <row r="59" spans="2:12" x14ac:dyDescent="0.3">
      <c r="B59" s="126">
        <v>56</v>
      </c>
      <c r="C59" s="125">
        <v>201.8</v>
      </c>
      <c r="D59" s="125">
        <v>72.66</v>
      </c>
      <c r="E59" s="124">
        <v>26.87</v>
      </c>
      <c r="K59" s="3"/>
      <c r="L59" s="3"/>
    </row>
    <row r="60" spans="2:12" x14ac:dyDescent="0.3">
      <c r="B60" s="126">
        <v>57</v>
      </c>
      <c r="C60" s="125">
        <v>168.45</v>
      </c>
      <c r="D60" s="125">
        <v>72.599999999999994</v>
      </c>
      <c r="E60" s="124">
        <v>22.47</v>
      </c>
      <c r="K60" s="3"/>
      <c r="L60" s="3"/>
    </row>
    <row r="61" spans="2:12" x14ac:dyDescent="0.3">
      <c r="B61" s="126">
        <v>58</v>
      </c>
      <c r="C61" s="125">
        <v>166.85</v>
      </c>
      <c r="D61" s="125">
        <v>71.28</v>
      </c>
      <c r="E61" s="124">
        <v>23.08</v>
      </c>
      <c r="K61" s="3"/>
      <c r="L61" s="3"/>
    </row>
    <row r="62" spans="2:12" x14ac:dyDescent="0.3">
      <c r="B62" s="126">
        <v>59</v>
      </c>
      <c r="C62" s="125">
        <v>132.52000000000001</v>
      </c>
      <c r="D62" s="125">
        <v>68.86</v>
      </c>
      <c r="E62" s="124">
        <v>19.649999999999999</v>
      </c>
      <c r="K62" s="3"/>
      <c r="L62" s="3"/>
    </row>
    <row r="63" spans="2:12" x14ac:dyDescent="0.3">
      <c r="B63" s="126">
        <v>60</v>
      </c>
      <c r="C63" s="125">
        <v>155.31</v>
      </c>
      <c r="D63" s="125">
        <v>70.22</v>
      </c>
      <c r="E63" s="124">
        <v>22.14</v>
      </c>
      <c r="K63" s="3"/>
      <c r="L63" s="3"/>
    </row>
    <row r="64" spans="2:12" x14ac:dyDescent="0.3">
      <c r="B64" s="126">
        <v>61</v>
      </c>
      <c r="C64" s="125">
        <v>178.68</v>
      </c>
      <c r="D64" s="125">
        <v>69.36</v>
      </c>
      <c r="E64" s="124">
        <v>26.11</v>
      </c>
      <c r="K64" s="3"/>
      <c r="L64" s="3"/>
    </row>
    <row r="65" spans="2:12" x14ac:dyDescent="0.3">
      <c r="B65" s="126">
        <v>62</v>
      </c>
      <c r="C65" s="125">
        <v>157.6</v>
      </c>
      <c r="D65" s="125">
        <v>70.27</v>
      </c>
      <c r="E65" s="124">
        <v>22.44</v>
      </c>
      <c r="K65" s="3"/>
      <c r="L65" s="3"/>
    </row>
    <row r="66" spans="2:12" x14ac:dyDescent="0.3">
      <c r="B66" s="126">
        <v>63</v>
      </c>
      <c r="C66" s="125">
        <v>144.04</v>
      </c>
      <c r="D66" s="125">
        <v>70.66</v>
      </c>
      <c r="E66" s="124">
        <v>20.28</v>
      </c>
      <c r="K66" s="3"/>
      <c r="L66" s="3"/>
    </row>
    <row r="67" spans="2:12" x14ac:dyDescent="0.3">
      <c r="B67" s="126">
        <v>64</v>
      </c>
      <c r="C67" s="125">
        <v>140.4</v>
      </c>
      <c r="D67" s="125">
        <v>68.52</v>
      </c>
      <c r="E67" s="124">
        <v>21.02</v>
      </c>
      <c r="K67" s="3"/>
      <c r="L67" s="3"/>
    </row>
    <row r="68" spans="2:12" x14ac:dyDescent="0.3">
      <c r="B68" s="126">
        <v>65</v>
      </c>
      <c r="C68" s="125">
        <v>161.5</v>
      </c>
      <c r="D68" s="125">
        <v>68.78</v>
      </c>
      <c r="E68" s="124">
        <v>24</v>
      </c>
      <c r="K68" s="3"/>
      <c r="L68" s="3"/>
    </row>
    <row r="69" spans="2:12" x14ac:dyDescent="0.3">
      <c r="B69" s="126">
        <v>66</v>
      </c>
      <c r="C69" s="125">
        <v>177.42</v>
      </c>
      <c r="D69" s="125">
        <v>69.22</v>
      </c>
      <c r="E69" s="124">
        <v>26.03</v>
      </c>
      <c r="K69" s="3"/>
      <c r="L69" s="3"/>
    </row>
    <row r="70" spans="2:12" x14ac:dyDescent="0.3">
      <c r="B70" s="126">
        <v>67</v>
      </c>
      <c r="C70" s="125">
        <v>193.98</v>
      </c>
      <c r="D70" s="125">
        <v>71.86</v>
      </c>
      <c r="E70" s="124">
        <v>26.41</v>
      </c>
      <c r="K70" s="3"/>
      <c r="L70" s="3"/>
    </row>
    <row r="71" spans="2:12" x14ac:dyDescent="0.3">
      <c r="B71" s="126">
        <v>68</v>
      </c>
      <c r="C71" s="125">
        <v>127.04</v>
      </c>
      <c r="D71" s="125">
        <v>69.27</v>
      </c>
      <c r="E71" s="124">
        <v>18.61</v>
      </c>
      <c r="K71" s="3"/>
      <c r="L71" s="3"/>
    </row>
    <row r="72" spans="2:12" x14ac:dyDescent="0.3">
      <c r="B72" s="126">
        <v>69</v>
      </c>
      <c r="C72" s="125">
        <v>161.99</v>
      </c>
      <c r="D72" s="125">
        <v>69.319999999999993</v>
      </c>
      <c r="E72" s="124">
        <v>23.7</v>
      </c>
      <c r="K72" s="3"/>
      <c r="L72" s="3"/>
    </row>
    <row r="73" spans="2:12" x14ac:dyDescent="0.3">
      <c r="B73" s="126">
        <v>70</v>
      </c>
      <c r="C73" s="125">
        <v>154.78</v>
      </c>
      <c r="D73" s="125">
        <v>68.37</v>
      </c>
      <c r="E73" s="124">
        <v>23.28</v>
      </c>
      <c r="K73" s="3"/>
      <c r="L73" s="3"/>
    </row>
    <row r="74" spans="2:12" x14ac:dyDescent="0.3">
      <c r="B74" s="126">
        <v>71</v>
      </c>
      <c r="C74" s="125">
        <v>205.28</v>
      </c>
      <c r="D74" s="125">
        <v>70.73</v>
      </c>
      <c r="E74" s="124">
        <v>28.84</v>
      </c>
      <c r="K74" s="3"/>
      <c r="L74" s="3"/>
    </row>
    <row r="75" spans="2:12" x14ac:dyDescent="0.3">
      <c r="B75" s="126">
        <v>72</v>
      </c>
      <c r="C75" s="125">
        <v>137.58000000000001</v>
      </c>
      <c r="D75" s="125">
        <v>71.099999999999994</v>
      </c>
      <c r="E75" s="124">
        <v>19.13</v>
      </c>
      <c r="K75" s="3"/>
      <c r="L75" s="3"/>
    </row>
    <row r="76" spans="2:12" x14ac:dyDescent="0.3">
      <c r="B76" s="126">
        <v>73</v>
      </c>
      <c r="C76" s="125">
        <v>180.74</v>
      </c>
      <c r="D76" s="125">
        <v>72.260000000000005</v>
      </c>
      <c r="E76" s="124">
        <v>24.33</v>
      </c>
      <c r="K76" s="3"/>
      <c r="L76" s="3"/>
    </row>
    <row r="77" spans="2:12" x14ac:dyDescent="0.3">
      <c r="B77" s="126">
        <v>74</v>
      </c>
      <c r="C77" s="125">
        <v>156.74</v>
      </c>
      <c r="D77" s="125">
        <v>70.88</v>
      </c>
      <c r="E77" s="124">
        <v>21.93</v>
      </c>
      <c r="K77" s="3"/>
      <c r="L77" s="3"/>
    </row>
    <row r="78" spans="2:12" x14ac:dyDescent="0.3">
      <c r="B78" s="126">
        <v>75</v>
      </c>
      <c r="C78" s="125">
        <v>159.29</v>
      </c>
      <c r="D78" s="125">
        <v>70.209999999999994</v>
      </c>
      <c r="E78" s="124">
        <v>22.72</v>
      </c>
      <c r="K78" s="3"/>
      <c r="L78" s="3"/>
    </row>
    <row r="79" spans="2:12" x14ac:dyDescent="0.3">
      <c r="B79" s="126">
        <v>76</v>
      </c>
      <c r="C79" s="125">
        <v>163.61000000000001</v>
      </c>
      <c r="D79" s="125">
        <v>69.95</v>
      </c>
      <c r="E79" s="124">
        <v>23.51</v>
      </c>
      <c r="K79" s="3"/>
      <c r="L79" s="3"/>
    </row>
    <row r="80" spans="2:12" x14ac:dyDescent="0.3">
      <c r="B80" s="126">
        <v>77</v>
      </c>
      <c r="C80" s="125">
        <v>135.97</v>
      </c>
      <c r="D80" s="125">
        <v>70.44</v>
      </c>
      <c r="E80" s="124">
        <v>19.27</v>
      </c>
      <c r="K80" s="3"/>
      <c r="L80" s="3"/>
    </row>
    <row r="81" spans="2:12" x14ac:dyDescent="0.3">
      <c r="B81" s="126">
        <v>78</v>
      </c>
      <c r="C81" s="125">
        <v>194.95</v>
      </c>
      <c r="D81" s="125">
        <v>72.849999999999994</v>
      </c>
      <c r="E81" s="124">
        <v>25.82</v>
      </c>
      <c r="K81" s="3"/>
      <c r="L81" s="3"/>
    </row>
    <row r="82" spans="2:12" x14ac:dyDescent="0.3">
      <c r="B82" s="126">
        <v>79</v>
      </c>
      <c r="C82" s="125">
        <v>187.27</v>
      </c>
      <c r="D82" s="125">
        <v>69.75</v>
      </c>
      <c r="E82" s="124">
        <v>27.06</v>
      </c>
      <c r="K82" s="3"/>
      <c r="L82" s="3"/>
    </row>
    <row r="83" spans="2:12" x14ac:dyDescent="0.3">
      <c r="B83" s="126">
        <v>80</v>
      </c>
      <c r="C83" s="125">
        <v>167.65</v>
      </c>
      <c r="D83" s="125">
        <v>69.91</v>
      </c>
      <c r="E83" s="124">
        <v>24.11</v>
      </c>
      <c r="K83" s="3"/>
      <c r="L83" s="3"/>
    </row>
    <row r="84" spans="2:12" x14ac:dyDescent="0.3">
      <c r="B84" s="126">
        <v>81</v>
      </c>
      <c r="C84" s="125">
        <v>145.19</v>
      </c>
      <c r="D84" s="125">
        <v>71.260000000000005</v>
      </c>
      <c r="E84" s="124">
        <v>20.100000000000001</v>
      </c>
      <c r="K84" s="3"/>
      <c r="L84" s="3"/>
    </row>
    <row r="85" spans="2:12" x14ac:dyDescent="0.3">
      <c r="B85" s="126">
        <v>82</v>
      </c>
      <c r="C85" s="125">
        <v>175.32</v>
      </c>
      <c r="D85" s="125">
        <v>66.72</v>
      </c>
      <c r="E85" s="124">
        <v>27.69</v>
      </c>
      <c r="K85" s="3"/>
      <c r="L85" s="3"/>
    </row>
    <row r="86" spans="2:12" x14ac:dyDescent="0.3">
      <c r="B86" s="126">
        <v>83</v>
      </c>
      <c r="C86" s="125">
        <v>145.9</v>
      </c>
      <c r="D86" s="125">
        <v>67.11</v>
      </c>
      <c r="E86" s="124">
        <v>22.78</v>
      </c>
      <c r="K86" s="3"/>
      <c r="L86" s="3"/>
    </row>
    <row r="87" spans="2:12" x14ac:dyDescent="0.3">
      <c r="B87" s="126">
        <v>84</v>
      </c>
      <c r="C87" s="125">
        <v>147.99</v>
      </c>
      <c r="D87" s="125">
        <v>68.94</v>
      </c>
      <c r="E87" s="124">
        <v>21.89</v>
      </c>
      <c r="K87" s="3"/>
      <c r="L87" s="3"/>
    </row>
    <row r="88" spans="2:12" x14ac:dyDescent="0.3">
      <c r="B88" s="126">
        <v>85</v>
      </c>
      <c r="C88" s="125">
        <v>158.84</v>
      </c>
      <c r="D88" s="125">
        <v>69.900000000000006</v>
      </c>
      <c r="E88" s="124">
        <v>22.85</v>
      </c>
      <c r="K88" s="3"/>
      <c r="L88" s="3"/>
    </row>
    <row r="89" spans="2:12" x14ac:dyDescent="0.3">
      <c r="B89" s="126">
        <v>86</v>
      </c>
      <c r="C89" s="125">
        <v>133.72</v>
      </c>
      <c r="D89" s="125">
        <v>69.569999999999993</v>
      </c>
      <c r="E89" s="124">
        <v>19.420000000000002</v>
      </c>
      <c r="K89" s="3"/>
      <c r="L89" s="3"/>
    </row>
    <row r="90" spans="2:12" x14ac:dyDescent="0.3">
      <c r="B90" s="126">
        <v>87</v>
      </c>
      <c r="C90" s="125">
        <v>324.61</v>
      </c>
      <c r="D90" s="125">
        <v>69.06</v>
      </c>
      <c r="E90" s="124">
        <v>47.84</v>
      </c>
      <c r="K90" s="3"/>
      <c r="L90" s="3"/>
    </row>
    <row r="91" spans="2:12" x14ac:dyDescent="0.3">
      <c r="B91" s="126">
        <v>88</v>
      </c>
      <c r="C91" s="125">
        <v>116.12</v>
      </c>
      <c r="D91" s="125">
        <v>69.11</v>
      </c>
      <c r="E91" s="124">
        <v>17.09</v>
      </c>
      <c r="K91" s="3"/>
      <c r="L91" s="3"/>
    </row>
    <row r="92" spans="2:12" x14ac:dyDescent="0.3">
      <c r="B92" s="126">
        <v>89</v>
      </c>
      <c r="C92" s="125">
        <v>166.65</v>
      </c>
      <c r="D92" s="125">
        <v>69.819999999999993</v>
      </c>
      <c r="E92" s="124">
        <v>24.04</v>
      </c>
      <c r="K92" s="3"/>
      <c r="L92" s="3"/>
    </row>
    <row r="93" spans="2:12" x14ac:dyDescent="0.3">
      <c r="B93" s="126">
        <v>90</v>
      </c>
      <c r="C93" s="125">
        <v>133.19</v>
      </c>
      <c r="D93" s="125">
        <v>68.400000000000006</v>
      </c>
      <c r="E93" s="124">
        <v>20.010000000000002</v>
      </c>
      <c r="K93" s="3"/>
      <c r="L93" s="3"/>
    </row>
    <row r="94" spans="2:12" x14ac:dyDescent="0.3">
      <c r="B94" s="126">
        <v>91</v>
      </c>
      <c r="C94" s="125">
        <v>166.83</v>
      </c>
      <c r="D94" s="125">
        <v>68.900000000000006</v>
      </c>
      <c r="E94" s="124">
        <v>24.71</v>
      </c>
      <c r="K94" s="3"/>
      <c r="L94" s="3"/>
    </row>
    <row r="95" spans="2:12" x14ac:dyDescent="0.3">
      <c r="B95" s="126">
        <v>92</v>
      </c>
      <c r="C95" s="125">
        <v>234.3</v>
      </c>
      <c r="D95" s="125">
        <v>76.64</v>
      </c>
      <c r="E95" s="124">
        <v>28.04</v>
      </c>
      <c r="K95" s="3"/>
      <c r="L95" s="3"/>
    </row>
    <row r="96" spans="2:12" x14ac:dyDescent="0.3">
      <c r="B96" s="126">
        <v>93</v>
      </c>
      <c r="C96" s="125">
        <v>209.97</v>
      </c>
      <c r="D96" s="125">
        <v>72.099999999999994</v>
      </c>
      <c r="E96" s="124">
        <v>28.39</v>
      </c>
      <c r="K96" s="3"/>
      <c r="L96" s="3"/>
    </row>
    <row r="97" spans="2:12" x14ac:dyDescent="0.3">
      <c r="B97" s="126">
        <v>94</v>
      </c>
      <c r="C97" s="125">
        <v>192.2</v>
      </c>
      <c r="D97" s="125">
        <v>68.680000000000007</v>
      </c>
      <c r="E97" s="124">
        <v>28.64</v>
      </c>
      <c r="K97" s="3"/>
      <c r="L97" s="3"/>
    </row>
    <row r="98" spans="2:12" x14ac:dyDescent="0.3">
      <c r="B98" s="126">
        <v>95</v>
      </c>
      <c r="C98" s="125">
        <v>177.53</v>
      </c>
      <c r="D98" s="125">
        <v>73.56</v>
      </c>
      <c r="E98" s="124">
        <v>23.06</v>
      </c>
      <c r="K98" s="3"/>
      <c r="L98" s="3"/>
    </row>
    <row r="99" spans="2:12" x14ac:dyDescent="0.3">
      <c r="B99" s="126">
        <v>96</v>
      </c>
      <c r="C99" s="125">
        <v>160.1</v>
      </c>
      <c r="D99" s="125">
        <v>70.150000000000006</v>
      </c>
      <c r="E99" s="124">
        <v>22.87</v>
      </c>
      <c r="K99" s="3"/>
      <c r="L99" s="3"/>
    </row>
    <row r="100" spans="2:12" x14ac:dyDescent="0.3">
      <c r="B100" s="126">
        <v>97</v>
      </c>
      <c r="C100" s="125">
        <v>162.22999999999999</v>
      </c>
      <c r="D100" s="125">
        <v>70.760000000000005</v>
      </c>
      <c r="E100" s="124">
        <v>22.78</v>
      </c>
      <c r="K100" s="3"/>
      <c r="L100" s="3"/>
    </row>
    <row r="101" spans="2:12" x14ac:dyDescent="0.3">
      <c r="B101" s="126">
        <v>98</v>
      </c>
      <c r="C101" s="125">
        <v>142.59</v>
      </c>
      <c r="D101" s="125">
        <v>69.73</v>
      </c>
      <c r="E101" s="124">
        <v>20.62</v>
      </c>
      <c r="K101" s="3"/>
      <c r="L101" s="3"/>
    </row>
    <row r="102" spans="2:12" x14ac:dyDescent="0.3">
      <c r="B102" s="126">
        <v>99</v>
      </c>
      <c r="C102" s="125">
        <v>172.84</v>
      </c>
      <c r="D102" s="125">
        <v>69.67</v>
      </c>
      <c r="E102" s="124">
        <v>25.03</v>
      </c>
      <c r="K102" s="3"/>
      <c r="L102" s="3"/>
    </row>
    <row r="103" spans="2:12" x14ac:dyDescent="0.3">
      <c r="B103" s="126">
        <v>100</v>
      </c>
      <c r="C103" s="125">
        <v>173.53</v>
      </c>
      <c r="D103" s="125">
        <v>69.95</v>
      </c>
      <c r="E103" s="124">
        <v>24.93</v>
      </c>
      <c r="K103" s="3"/>
      <c r="L103" s="3"/>
    </row>
    <row r="104" spans="2:12" x14ac:dyDescent="0.3">
      <c r="B104" s="126">
        <v>101</v>
      </c>
      <c r="C104" s="125">
        <v>203.83</v>
      </c>
      <c r="D104" s="125">
        <v>71.75</v>
      </c>
      <c r="E104" s="124">
        <v>27.83</v>
      </c>
      <c r="K104" s="3"/>
      <c r="L104" s="3"/>
    </row>
    <row r="105" spans="2:12" x14ac:dyDescent="0.3">
      <c r="B105" s="126">
        <v>102</v>
      </c>
      <c r="C105" s="125">
        <v>176.53</v>
      </c>
      <c r="D105" s="125">
        <v>68.75</v>
      </c>
      <c r="E105" s="124">
        <v>26.25</v>
      </c>
      <c r="K105" s="3"/>
      <c r="L105" s="3"/>
    </row>
    <row r="106" spans="2:12" x14ac:dyDescent="0.3">
      <c r="B106" s="126">
        <v>103</v>
      </c>
      <c r="C106" s="125">
        <v>154.01</v>
      </c>
      <c r="D106" s="125">
        <v>70.430000000000007</v>
      </c>
      <c r="E106" s="124">
        <v>21.82</v>
      </c>
      <c r="K106" s="3"/>
      <c r="L106" s="3"/>
    </row>
    <row r="107" spans="2:12" x14ac:dyDescent="0.3">
      <c r="B107" s="126">
        <v>104</v>
      </c>
      <c r="C107" s="125">
        <v>195.47</v>
      </c>
      <c r="D107" s="125">
        <v>68.38</v>
      </c>
      <c r="E107" s="124">
        <v>29.38</v>
      </c>
      <c r="K107" s="3"/>
      <c r="L107" s="3"/>
    </row>
    <row r="108" spans="2:12" x14ac:dyDescent="0.3">
      <c r="B108" s="126">
        <v>105</v>
      </c>
      <c r="C108" s="125">
        <v>178.26</v>
      </c>
      <c r="D108" s="125">
        <v>68.66</v>
      </c>
      <c r="E108" s="124">
        <v>26.58</v>
      </c>
      <c r="K108" s="3"/>
      <c r="L108" s="3"/>
    </row>
    <row r="109" spans="2:12" x14ac:dyDescent="0.3">
      <c r="B109" s="126">
        <v>106</v>
      </c>
      <c r="C109" s="125">
        <v>195.97</v>
      </c>
      <c r="D109" s="125">
        <v>68.63</v>
      </c>
      <c r="E109" s="124">
        <v>29.25</v>
      </c>
      <c r="K109" s="3"/>
      <c r="L109" s="3"/>
    </row>
    <row r="110" spans="2:12" x14ac:dyDescent="0.3">
      <c r="B110" s="126">
        <v>107</v>
      </c>
      <c r="C110" s="125">
        <v>136.30000000000001</v>
      </c>
      <c r="D110" s="125">
        <v>69.510000000000005</v>
      </c>
      <c r="E110" s="124">
        <v>19.829999999999998</v>
      </c>
      <c r="K110" s="3"/>
      <c r="L110" s="3"/>
    </row>
    <row r="111" spans="2:12" x14ac:dyDescent="0.3">
      <c r="B111" s="126">
        <v>108</v>
      </c>
      <c r="C111" s="125">
        <v>136.6</v>
      </c>
      <c r="D111" s="125">
        <v>67.73</v>
      </c>
      <c r="E111" s="124">
        <v>20.93</v>
      </c>
      <c r="K111" s="3"/>
      <c r="L111" s="3"/>
    </row>
    <row r="112" spans="2:12" x14ac:dyDescent="0.3">
      <c r="B112" s="126">
        <v>109</v>
      </c>
      <c r="C112" s="125">
        <v>183.17</v>
      </c>
      <c r="D112" s="125">
        <v>68.760000000000005</v>
      </c>
      <c r="E112" s="124">
        <v>27.24</v>
      </c>
      <c r="K112" s="3"/>
      <c r="L112" s="3"/>
    </row>
    <row r="113" spans="2:12" x14ac:dyDescent="0.3">
      <c r="B113" s="126">
        <v>110</v>
      </c>
      <c r="C113" s="125">
        <v>139.87</v>
      </c>
      <c r="D113" s="125">
        <v>70.099999999999994</v>
      </c>
      <c r="E113" s="124">
        <v>20.010000000000002</v>
      </c>
      <c r="K113" s="3"/>
      <c r="L113" s="3"/>
    </row>
    <row r="114" spans="2:12" x14ac:dyDescent="0.3">
      <c r="B114" s="126">
        <v>111</v>
      </c>
      <c r="C114" s="125">
        <v>166.7</v>
      </c>
      <c r="D114" s="125">
        <v>72.11</v>
      </c>
      <c r="E114" s="124">
        <v>22.54</v>
      </c>
      <c r="K114" s="3"/>
      <c r="L114" s="3"/>
    </row>
    <row r="115" spans="2:12" x14ac:dyDescent="0.3">
      <c r="B115" s="126">
        <v>112</v>
      </c>
      <c r="C115" s="125">
        <v>182.58</v>
      </c>
      <c r="D115" s="125">
        <v>68.19</v>
      </c>
      <c r="E115" s="124">
        <v>27.6</v>
      </c>
      <c r="K115" s="3"/>
      <c r="L115" s="3"/>
    </row>
    <row r="116" spans="2:12" x14ac:dyDescent="0.3">
      <c r="B116" s="126">
        <v>113</v>
      </c>
      <c r="C116" s="125">
        <v>346.97</v>
      </c>
      <c r="D116" s="125">
        <v>70.849999999999994</v>
      </c>
      <c r="E116" s="124">
        <v>48.6</v>
      </c>
      <c r="K116" s="3"/>
      <c r="L116" s="3"/>
    </row>
    <row r="117" spans="2:12" x14ac:dyDescent="0.3">
      <c r="B117" s="126">
        <v>114</v>
      </c>
      <c r="C117" s="125">
        <v>201.21</v>
      </c>
      <c r="D117" s="125">
        <v>72.89</v>
      </c>
      <c r="E117" s="124">
        <v>26.62</v>
      </c>
      <c r="K117" s="3"/>
      <c r="L117" s="3"/>
    </row>
    <row r="118" spans="2:12" x14ac:dyDescent="0.3">
      <c r="B118" s="126">
        <v>115</v>
      </c>
      <c r="C118" s="125">
        <v>155.63999999999999</v>
      </c>
      <c r="D118" s="125">
        <v>71.989999999999995</v>
      </c>
      <c r="E118" s="124">
        <v>21.11</v>
      </c>
      <c r="K118" s="3"/>
      <c r="L118" s="3"/>
    </row>
    <row r="119" spans="2:12" x14ac:dyDescent="0.3">
      <c r="B119" s="126">
        <v>116</v>
      </c>
      <c r="C119" s="125">
        <v>169.18</v>
      </c>
      <c r="D119" s="125">
        <v>72.66</v>
      </c>
      <c r="E119" s="124">
        <v>22.53</v>
      </c>
      <c r="K119" s="3"/>
      <c r="L119" s="3"/>
    </row>
    <row r="120" spans="2:12" x14ac:dyDescent="0.3">
      <c r="B120" s="126">
        <v>117</v>
      </c>
      <c r="C120" s="125">
        <v>127.96</v>
      </c>
      <c r="D120" s="125">
        <v>68.819999999999993</v>
      </c>
      <c r="E120" s="124">
        <v>19</v>
      </c>
      <c r="K120" s="3"/>
      <c r="L120" s="3"/>
    </row>
    <row r="121" spans="2:12" x14ac:dyDescent="0.3">
      <c r="B121" s="126">
        <v>118</v>
      </c>
      <c r="C121" s="125">
        <v>130.97999999999999</v>
      </c>
      <c r="D121" s="125">
        <v>69.95</v>
      </c>
      <c r="E121" s="124">
        <v>18.82</v>
      </c>
      <c r="K121" s="3"/>
      <c r="L121" s="3"/>
    </row>
    <row r="122" spans="2:12" x14ac:dyDescent="0.3">
      <c r="B122" s="126">
        <v>119</v>
      </c>
      <c r="C122" s="125">
        <v>175.29</v>
      </c>
      <c r="D122" s="125">
        <v>69.069999999999993</v>
      </c>
      <c r="E122" s="124">
        <v>25.83</v>
      </c>
      <c r="K122" s="3"/>
      <c r="L122" s="3"/>
    </row>
    <row r="123" spans="2:12" x14ac:dyDescent="0.3">
      <c r="B123" s="126">
        <v>120</v>
      </c>
      <c r="C123" s="125">
        <v>153.05000000000001</v>
      </c>
      <c r="D123" s="125">
        <v>67.19</v>
      </c>
      <c r="E123" s="124">
        <v>23.83</v>
      </c>
      <c r="K123" s="3"/>
      <c r="L123" s="3"/>
    </row>
    <row r="124" spans="2:12" x14ac:dyDescent="0.3">
      <c r="B124" s="126">
        <v>121</v>
      </c>
      <c r="C124" s="125">
        <v>184.47</v>
      </c>
      <c r="D124" s="125">
        <v>68.739999999999995</v>
      </c>
      <c r="E124" s="124">
        <v>27.45</v>
      </c>
      <c r="K124" s="3"/>
      <c r="L124" s="3"/>
    </row>
    <row r="125" spans="2:12" x14ac:dyDescent="0.3">
      <c r="B125" s="126">
        <v>122</v>
      </c>
      <c r="C125" s="125">
        <v>174.01</v>
      </c>
      <c r="D125" s="125">
        <v>68.180000000000007</v>
      </c>
      <c r="E125" s="124">
        <v>26.31</v>
      </c>
      <c r="K125" s="3"/>
      <c r="L125" s="3"/>
    </row>
    <row r="126" spans="2:12" x14ac:dyDescent="0.3">
      <c r="B126" s="126">
        <v>123</v>
      </c>
      <c r="C126" s="125">
        <v>137.37</v>
      </c>
      <c r="D126" s="125">
        <v>70.349999999999994</v>
      </c>
      <c r="E126" s="124">
        <v>19.510000000000002</v>
      </c>
      <c r="K126" s="3"/>
      <c r="L126" s="3"/>
    </row>
    <row r="127" spans="2:12" x14ac:dyDescent="0.3">
      <c r="B127" s="126">
        <v>124</v>
      </c>
      <c r="C127" s="125">
        <v>155.44</v>
      </c>
      <c r="D127" s="125">
        <v>67</v>
      </c>
      <c r="E127" s="124">
        <v>24.34</v>
      </c>
      <c r="K127" s="3"/>
      <c r="L127" s="3"/>
    </row>
    <row r="128" spans="2:12" x14ac:dyDescent="0.3">
      <c r="B128" s="126">
        <v>125</v>
      </c>
      <c r="C128" s="125">
        <v>143.22999999999999</v>
      </c>
      <c r="D128" s="125">
        <v>69.73</v>
      </c>
      <c r="E128" s="124">
        <v>20.71</v>
      </c>
      <c r="K128" s="3"/>
      <c r="L128" s="3"/>
    </row>
    <row r="129" spans="2:12" x14ac:dyDescent="0.3">
      <c r="B129" s="126">
        <v>126</v>
      </c>
      <c r="C129" s="125">
        <v>151.47</v>
      </c>
      <c r="D129" s="125">
        <v>72.66</v>
      </c>
      <c r="E129" s="124">
        <v>20.170000000000002</v>
      </c>
      <c r="K129" s="3"/>
      <c r="L129" s="3"/>
    </row>
    <row r="130" spans="2:12" x14ac:dyDescent="0.3">
      <c r="B130" s="126">
        <v>127</v>
      </c>
      <c r="C130" s="125">
        <v>198.46</v>
      </c>
      <c r="D130" s="125">
        <v>72.83</v>
      </c>
      <c r="E130" s="124">
        <v>26.3</v>
      </c>
      <c r="K130" s="3"/>
      <c r="L130" s="3"/>
    </row>
    <row r="131" spans="2:12" x14ac:dyDescent="0.3">
      <c r="B131" s="126">
        <v>128</v>
      </c>
      <c r="C131" s="125">
        <v>146.49</v>
      </c>
      <c r="D131" s="125">
        <v>69.95</v>
      </c>
      <c r="E131" s="124">
        <v>21.05</v>
      </c>
      <c r="K131" s="3"/>
      <c r="L131" s="3"/>
    </row>
    <row r="132" spans="2:12" x14ac:dyDescent="0.3">
      <c r="B132" s="126">
        <v>129</v>
      </c>
      <c r="C132" s="125">
        <v>156.97</v>
      </c>
      <c r="D132" s="125">
        <v>70.23</v>
      </c>
      <c r="E132" s="124">
        <v>22.37</v>
      </c>
      <c r="K132" s="3"/>
      <c r="L132" s="3"/>
    </row>
    <row r="133" spans="2:12" x14ac:dyDescent="0.3">
      <c r="B133" s="126">
        <v>130</v>
      </c>
      <c r="C133" s="125">
        <v>162.52000000000001</v>
      </c>
      <c r="D133" s="125">
        <v>71.2</v>
      </c>
      <c r="E133" s="124">
        <v>22.54</v>
      </c>
      <c r="K133" s="3"/>
      <c r="L133" s="3"/>
    </row>
    <row r="134" spans="2:12" x14ac:dyDescent="0.3">
      <c r="B134" s="126">
        <v>131</v>
      </c>
      <c r="C134" s="125">
        <v>193.22</v>
      </c>
      <c r="D134" s="125">
        <v>70.42</v>
      </c>
      <c r="E134" s="124">
        <v>27.39</v>
      </c>
      <c r="K134" s="3"/>
      <c r="L134" s="3"/>
    </row>
    <row r="135" spans="2:12" x14ac:dyDescent="0.3">
      <c r="B135" s="126">
        <v>132</v>
      </c>
      <c r="C135" s="125">
        <v>170.11</v>
      </c>
      <c r="D135" s="125">
        <v>72.569999999999993</v>
      </c>
      <c r="E135" s="124">
        <v>22.71</v>
      </c>
      <c r="K135" s="3"/>
      <c r="L135" s="3"/>
    </row>
    <row r="136" spans="2:12" x14ac:dyDescent="0.3">
      <c r="B136" s="126">
        <v>133</v>
      </c>
      <c r="C136" s="125">
        <v>199.84</v>
      </c>
      <c r="D136" s="125">
        <v>72.45</v>
      </c>
      <c r="E136" s="124">
        <v>26.76</v>
      </c>
      <c r="K136" s="3"/>
      <c r="L136" s="3"/>
    </row>
    <row r="137" spans="2:12" x14ac:dyDescent="0.3">
      <c r="B137" s="126">
        <v>134</v>
      </c>
      <c r="C137" s="125">
        <v>173.08</v>
      </c>
      <c r="D137" s="125">
        <v>70.48</v>
      </c>
      <c r="E137" s="124">
        <v>24.5</v>
      </c>
      <c r="K137" s="3"/>
      <c r="L137" s="3"/>
    </row>
    <row r="138" spans="2:12" x14ac:dyDescent="0.3">
      <c r="B138" s="126">
        <v>135</v>
      </c>
      <c r="C138" s="125">
        <v>179.38</v>
      </c>
      <c r="D138" s="125">
        <v>71</v>
      </c>
      <c r="E138" s="124">
        <v>25.02</v>
      </c>
      <c r="K138" s="3"/>
      <c r="L138" s="3"/>
    </row>
    <row r="139" spans="2:12" x14ac:dyDescent="0.3">
      <c r="B139" s="126">
        <v>136</v>
      </c>
      <c r="C139" s="125">
        <v>161.66</v>
      </c>
      <c r="D139" s="125">
        <v>72.11</v>
      </c>
      <c r="E139" s="124">
        <v>21.85</v>
      </c>
      <c r="K139" s="3"/>
      <c r="L139" s="3"/>
    </row>
    <row r="140" spans="2:12" x14ac:dyDescent="0.3">
      <c r="B140" s="126">
        <v>137</v>
      </c>
      <c r="C140" s="125">
        <v>200.56</v>
      </c>
      <c r="D140" s="125">
        <v>72.150000000000006</v>
      </c>
      <c r="E140" s="124">
        <v>27.08</v>
      </c>
      <c r="K140" s="3"/>
      <c r="L140" s="3"/>
    </row>
    <row r="141" spans="2:12" x14ac:dyDescent="0.3">
      <c r="B141" s="126">
        <v>138</v>
      </c>
      <c r="C141" s="125">
        <v>203.29</v>
      </c>
      <c r="D141" s="125">
        <v>72.2</v>
      </c>
      <c r="E141" s="124">
        <v>27.42</v>
      </c>
      <c r="K141" s="3"/>
      <c r="L141" s="3"/>
    </row>
    <row r="142" spans="2:12" x14ac:dyDescent="0.3">
      <c r="B142" s="126">
        <v>139</v>
      </c>
      <c r="C142" s="125">
        <v>178.19</v>
      </c>
      <c r="D142" s="125">
        <v>70.41</v>
      </c>
      <c r="E142" s="124">
        <v>25.27</v>
      </c>
      <c r="K142" s="3"/>
      <c r="L142" s="3"/>
    </row>
    <row r="143" spans="2:12" x14ac:dyDescent="0.3">
      <c r="B143" s="126">
        <v>140</v>
      </c>
      <c r="C143" s="125">
        <v>196.96</v>
      </c>
      <c r="D143" s="125">
        <v>68.510000000000005</v>
      </c>
      <c r="E143" s="124">
        <v>29.5</v>
      </c>
      <c r="K143" s="3"/>
      <c r="L143" s="3"/>
    </row>
    <row r="144" spans="2:12" x14ac:dyDescent="0.3">
      <c r="B144" s="126">
        <v>141</v>
      </c>
      <c r="C144" s="125">
        <v>182.4</v>
      </c>
      <c r="D144" s="125">
        <v>69.17</v>
      </c>
      <c r="E144" s="124">
        <v>26.8</v>
      </c>
      <c r="K144" s="3"/>
      <c r="L144" s="3"/>
    </row>
    <row r="145" spans="2:12" x14ac:dyDescent="0.3">
      <c r="B145" s="126">
        <v>142</v>
      </c>
      <c r="C145" s="125">
        <v>156.69999999999999</v>
      </c>
      <c r="D145" s="125">
        <v>67.78</v>
      </c>
      <c r="E145" s="124">
        <v>23.98</v>
      </c>
      <c r="K145" s="3"/>
      <c r="L145" s="3"/>
    </row>
    <row r="146" spans="2:12" x14ac:dyDescent="0.3">
      <c r="B146" s="126">
        <v>143</v>
      </c>
      <c r="C146" s="125">
        <v>128.07</v>
      </c>
      <c r="D146" s="125">
        <v>69.55</v>
      </c>
      <c r="E146" s="124">
        <v>18.61</v>
      </c>
      <c r="K146" s="3"/>
      <c r="L146" s="3"/>
    </row>
    <row r="147" spans="2:12" x14ac:dyDescent="0.3">
      <c r="B147" s="126">
        <v>144</v>
      </c>
      <c r="C147" s="125">
        <v>155.96</v>
      </c>
      <c r="D147" s="125">
        <v>70.22</v>
      </c>
      <c r="E147" s="124">
        <v>22.24</v>
      </c>
      <c r="K147" s="3"/>
      <c r="L147" s="3"/>
    </row>
    <row r="148" spans="2:12" x14ac:dyDescent="0.3">
      <c r="B148" s="126">
        <v>145</v>
      </c>
      <c r="C148" s="125">
        <v>189.31</v>
      </c>
      <c r="D148" s="125">
        <v>71.03</v>
      </c>
      <c r="E148" s="124">
        <v>26.38</v>
      </c>
      <c r="K148" s="3"/>
      <c r="L148" s="3"/>
    </row>
    <row r="149" spans="2:12" x14ac:dyDescent="0.3">
      <c r="B149" s="126">
        <v>146</v>
      </c>
      <c r="C149" s="125">
        <v>155.85</v>
      </c>
      <c r="D149" s="125">
        <v>68.62</v>
      </c>
      <c r="E149" s="124">
        <v>23.27</v>
      </c>
      <c r="K149" s="3"/>
      <c r="L149" s="3"/>
    </row>
    <row r="150" spans="2:12" x14ac:dyDescent="0.3">
      <c r="B150" s="126">
        <v>147</v>
      </c>
      <c r="C150" s="125">
        <v>171.73</v>
      </c>
      <c r="D150" s="125">
        <v>68.73</v>
      </c>
      <c r="E150" s="124">
        <v>25.55</v>
      </c>
      <c r="K150" s="3"/>
      <c r="L150" s="3"/>
    </row>
    <row r="151" spans="2:12" x14ac:dyDescent="0.3">
      <c r="B151" s="126">
        <v>148</v>
      </c>
      <c r="C151" s="125">
        <v>157.78</v>
      </c>
      <c r="D151" s="125">
        <v>67.42</v>
      </c>
      <c r="E151" s="124">
        <v>24.4</v>
      </c>
      <c r="K151" s="3"/>
      <c r="L151" s="3"/>
    </row>
    <row r="152" spans="2:12" x14ac:dyDescent="0.3">
      <c r="B152" s="126">
        <v>149</v>
      </c>
      <c r="C152" s="125">
        <v>135.66</v>
      </c>
      <c r="D152" s="125">
        <v>67.42</v>
      </c>
      <c r="E152" s="124">
        <v>20.98</v>
      </c>
      <c r="K152" s="3"/>
      <c r="L152" s="3"/>
    </row>
    <row r="153" spans="2:12" x14ac:dyDescent="0.3">
      <c r="B153" s="126">
        <v>150</v>
      </c>
      <c r="C153" s="125">
        <v>187.63</v>
      </c>
      <c r="D153" s="125">
        <v>71.06</v>
      </c>
      <c r="E153" s="124">
        <v>26.12</v>
      </c>
      <c r="K153" s="3"/>
      <c r="L153" s="3"/>
    </row>
    <row r="154" spans="2:12" x14ac:dyDescent="0.3">
      <c r="B154" s="126">
        <v>151</v>
      </c>
      <c r="C154" s="125">
        <v>165.95</v>
      </c>
      <c r="D154" s="125">
        <v>70.150000000000006</v>
      </c>
      <c r="E154" s="124">
        <v>23.71</v>
      </c>
      <c r="K154" s="3"/>
      <c r="L154" s="3"/>
    </row>
    <row r="155" spans="2:12" x14ac:dyDescent="0.3">
      <c r="B155" s="126">
        <v>152</v>
      </c>
      <c r="C155" s="125">
        <v>175.64</v>
      </c>
      <c r="D155" s="125">
        <v>69.599999999999994</v>
      </c>
      <c r="E155" s="124">
        <v>25.49</v>
      </c>
      <c r="K155" s="3"/>
      <c r="L155" s="3"/>
    </row>
    <row r="156" spans="2:12" x14ac:dyDescent="0.3">
      <c r="B156" s="126">
        <v>153</v>
      </c>
      <c r="C156" s="125">
        <v>148.58000000000001</v>
      </c>
      <c r="D156" s="125">
        <v>68.59</v>
      </c>
      <c r="E156" s="124">
        <v>22.2</v>
      </c>
      <c r="K156" s="3"/>
      <c r="L156" s="3"/>
    </row>
    <row r="157" spans="2:12" x14ac:dyDescent="0.3">
      <c r="B157" s="126">
        <v>154</v>
      </c>
      <c r="C157" s="125">
        <v>207.53</v>
      </c>
      <c r="D157" s="125">
        <v>69.64</v>
      </c>
      <c r="E157" s="124">
        <v>30.08</v>
      </c>
      <c r="K157" s="3"/>
      <c r="L157" s="3"/>
    </row>
    <row r="158" spans="2:12" x14ac:dyDescent="0.3">
      <c r="B158" s="126">
        <v>155</v>
      </c>
      <c r="C158" s="125">
        <v>191.66</v>
      </c>
      <c r="D158" s="125">
        <v>70.319999999999993</v>
      </c>
      <c r="E158" s="124">
        <v>27.24</v>
      </c>
      <c r="K158" s="3"/>
      <c r="L158" s="3"/>
    </row>
    <row r="159" spans="2:12" x14ac:dyDescent="0.3">
      <c r="B159" s="126">
        <v>156</v>
      </c>
      <c r="C159" s="125">
        <v>190.91</v>
      </c>
      <c r="D159" s="125">
        <v>71.290000000000006</v>
      </c>
      <c r="E159" s="124">
        <v>26.41</v>
      </c>
      <c r="K159" s="3"/>
      <c r="L159" s="3"/>
    </row>
    <row r="160" spans="2:12" x14ac:dyDescent="0.3">
      <c r="B160" s="126">
        <v>157</v>
      </c>
      <c r="C160" s="125">
        <v>212.51</v>
      </c>
      <c r="D160" s="125">
        <v>69.900000000000006</v>
      </c>
      <c r="E160" s="124">
        <v>30.58</v>
      </c>
      <c r="K160" s="3"/>
      <c r="L160" s="3"/>
    </row>
    <row r="161" spans="2:12" x14ac:dyDescent="0.3">
      <c r="B161" s="126">
        <v>158</v>
      </c>
      <c r="C161" s="125">
        <v>217.84</v>
      </c>
      <c r="D161" s="125">
        <v>70.41</v>
      </c>
      <c r="E161" s="124">
        <v>30.89</v>
      </c>
      <c r="K161" s="3"/>
      <c r="L161" s="3"/>
    </row>
    <row r="162" spans="2:12" x14ac:dyDescent="0.3">
      <c r="B162" s="126">
        <v>159</v>
      </c>
      <c r="C162" s="125">
        <v>131.01</v>
      </c>
      <c r="D162" s="125">
        <v>70.3</v>
      </c>
      <c r="E162" s="124">
        <v>18.64</v>
      </c>
      <c r="K162" s="3"/>
      <c r="L162" s="3"/>
    </row>
    <row r="163" spans="2:12" x14ac:dyDescent="0.3">
      <c r="B163" s="126">
        <v>160</v>
      </c>
      <c r="C163" s="125">
        <v>155.26</v>
      </c>
      <c r="D163" s="125">
        <v>71.03</v>
      </c>
      <c r="E163" s="124">
        <v>21.63</v>
      </c>
      <c r="K163" s="3"/>
      <c r="L163" s="3"/>
    </row>
    <row r="164" spans="2:12" x14ac:dyDescent="0.3">
      <c r="B164" s="126">
        <v>161</v>
      </c>
      <c r="C164" s="125">
        <v>152.22</v>
      </c>
      <c r="D164" s="125">
        <v>70.05</v>
      </c>
      <c r="E164" s="124">
        <v>21.81</v>
      </c>
      <c r="K164" s="3"/>
      <c r="L164" s="3"/>
    </row>
    <row r="165" spans="2:12" x14ac:dyDescent="0.3">
      <c r="B165" s="126">
        <v>162</v>
      </c>
      <c r="C165" s="125">
        <v>133.03</v>
      </c>
      <c r="D165" s="125">
        <v>69.349999999999994</v>
      </c>
      <c r="E165" s="124">
        <v>19.45</v>
      </c>
      <c r="K165" s="3"/>
      <c r="L165" s="3"/>
    </row>
    <row r="166" spans="2:12" x14ac:dyDescent="0.3">
      <c r="B166" s="126">
        <v>163</v>
      </c>
      <c r="C166" s="125">
        <v>136.07</v>
      </c>
      <c r="D166" s="125">
        <v>69.45</v>
      </c>
      <c r="E166" s="124">
        <v>19.829999999999998</v>
      </c>
      <c r="K166" s="3"/>
      <c r="L166" s="3"/>
    </row>
    <row r="167" spans="2:12" x14ac:dyDescent="0.3">
      <c r="B167" s="126">
        <v>164</v>
      </c>
      <c r="C167" s="125">
        <v>157.78</v>
      </c>
      <c r="D167" s="125">
        <v>68.47</v>
      </c>
      <c r="E167" s="124">
        <v>23.66</v>
      </c>
      <c r="K167" s="3"/>
      <c r="L167" s="3"/>
    </row>
    <row r="168" spans="2:12" x14ac:dyDescent="0.3">
      <c r="B168" s="126">
        <v>165</v>
      </c>
      <c r="C168" s="125">
        <v>206.03</v>
      </c>
      <c r="D168" s="125">
        <v>72.930000000000007</v>
      </c>
      <c r="E168" s="124">
        <v>27.24</v>
      </c>
      <c r="K168" s="3"/>
      <c r="L168" s="3"/>
    </row>
    <row r="169" spans="2:12" x14ac:dyDescent="0.3">
      <c r="B169" s="126">
        <v>166</v>
      </c>
      <c r="C169" s="125">
        <v>190.31</v>
      </c>
      <c r="D169" s="125">
        <v>72.94</v>
      </c>
      <c r="E169" s="124">
        <v>25.15</v>
      </c>
      <c r="K169" s="3"/>
      <c r="L169" s="3"/>
    </row>
    <row r="170" spans="2:12" x14ac:dyDescent="0.3">
      <c r="B170" s="126">
        <v>167</v>
      </c>
      <c r="C170" s="125">
        <v>255.85</v>
      </c>
      <c r="D170" s="125">
        <v>76.08</v>
      </c>
      <c r="E170" s="124">
        <v>31.07</v>
      </c>
      <c r="K170" s="3"/>
      <c r="L170" s="3"/>
    </row>
    <row r="171" spans="2:12" x14ac:dyDescent="0.3">
      <c r="B171" s="126">
        <v>168</v>
      </c>
      <c r="C171" s="125">
        <v>181.47</v>
      </c>
      <c r="D171" s="125">
        <v>68.81</v>
      </c>
      <c r="E171" s="124">
        <v>26.95</v>
      </c>
      <c r="K171" s="3"/>
      <c r="L171" s="3"/>
    </row>
    <row r="172" spans="2:12" x14ac:dyDescent="0.3">
      <c r="B172" s="126">
        <v>169</v>
      </c>
      <c r="C172" s="125">
        <v>176.24</v>
      </c>
      <c r="D172" s="125">
        <v>70.59</v>
      </c>
      <c r="E172" s="124">
        <v>24.86</v>
      </c>
      <c r="K172" s="3"/>
      <c r="L172" s="3"/>
    </row>
    <row r="173" spans="2:12" x14ac:dyDescent="0.3">
      <c r="B173" s="126">
        <v>170</v>
      </c>
      <c r="C173" s="125">
        <v>160.75</v>
      </c>
      <c r="D173" s="125">
        <v>69.040000000000006</v>
      </c>
      <c r="E173" s="124">
        <v>23.71</v>
      </c>
      <c r="K173" s="3"/>
      <c r="L173" s="3"/>
    </row>
    <row r="174" spans="2:12" x14ac:dyDescent="0.3">
      <c r="B174" s="126">
        <v>171</v>
      </c>
      <c r="C174" s="125">
        <v>164.4</v>
      </c>
      <c r="D174" s="125">
        <v>70.739999999999995</v>
      </c>
      <c r="E174" s="124">
        <v>23.09</v>
      </c>
      <c r="K174" s="3"/>
      <c r="L174" s="3"/>
    </row>
    <row r="175" spans="2:12" x14ac:dyDescent="0.3">
      <c r="B175" s="126">
        <v>172</v>
      </c>
      <c r="C175" s="125">
        <v>180.34</v>
      </c>
      <c r="D175" s="125">
        <v>68.650000000000006</v>
      </c>
      <c r="E175" s="124">
        <v>26.9</v>
      </c>
      <c r="K175" s="3"/>
      <c r="L175" s="3"/>
    </row>
    <row r="176" spans="2:12" x14ac:dyDescent="0.3">
      <c r="B176" s="126">
        <v>173</v>
      </c>
      <c r="C176" s="125">
        <v>173.16</v>
      </c>
      <c r="D176" s="125">
        <v>71.739999999999995</v>
      </c>
      <c r="E176" s="124">
        <v>23.65</v>
      </c>
      <c r="K176" s="3"/>
      <c r="L176" s="3"/>
    </row>
    <row r="177" spans="2:12" x14ac:dyDescent="0.3">
      <c r="B177" s="126">
        <v>174</v>
      </c>
      <c r="C177" s="125">
        <v>194.04</v>
      </c>
      <c r="D177" s="125">
        <v>71.3</v>
      </c>
      <c r="E177" s="124">
        <v>26.83</v>
      </c>
      <c r="K177" s="3"/>
      <c r="L177" s="3"/>
    </row>
    <row r="178" spans="2:12" x14ac:dyDescent="0.3">
      <c r="B178" s="126">
        <v>175</v>
      </c>
      <c r="C178" s="125">
        <v>122.9</v>
      </c>
      <c r="D178" s="125">
        <v>68.819999999999993</v>
      </c>
      <c r="E178" s="124">
        <v>18.239999999999998</v>
      </c>
      <c r="K178" s="3"/>
      <c r="L178" s="3"/>
    </row>
    <row r="179" spans="2:12" x14ac:dyDescent="0.3">
      <c r="B179" s="126">
        <v>176</v>
      </c>
      <c r="C179" s="125">
        <v>181.26</v>
      </c>
      <c r="D179" s="125">
        <v>71.09</v>
      </c>
      <c r="E179" s="124">
        <v>25.22</v>
      </c>
      <c r="K179" s="3"/>
      <c r="L179" s="3"/>
    </row>
    <row r="180" spans="2:12" x14ac:dyDescent="0.3">
      <c r="B180" s="126">
        <v>177</v>
      </c>
      <c r="C180" s="125">
        <v>129.15</v>
      </c>
      <c r="D180" s="125">
        <v>67.55</v>
      </c>
      <c r="E180" s="124">
        <v>19.899999999999999</v>
      </c>
      <c r="K180" s="3"/>
      <c r="L180" s="3"/>
    </row>
    <row r="181" spans="2:12" x14ac:dyDescent="0.3">
      <c r="B181" s="126">
        <v>178</v>
      </c>
      <c r="C181" s="125">
        <v>167.34</v>
      </c>
      <c r="D181" s="125">
        <v>67.430000000000007</v>
      </c>
      <c r="E181" s="124">
        <v>25.87</v>
      </c>
      <c r="K181" s="3"/>
      <c r="L181" s="3"/>
    </row>
    <row r="182" spans="2:12" x14ac:dyDescent="0.3">
      <c r="B182" s="126">
        <v>179</v>
      </c>
      <c r="C182" s="125">
        <v>211.36</v>
      </c>
      <c r="D182" s="125">
        <v>70.25</v>
      </c>
      <c r="E182" s="124">
        <v>30.11</v>
      </c>
      <c r="K182" s="3"/>
      <c r="L182" s="3"/>
    </row>
    <row r="183" spans="2:12" x14ac:dyDescent="0.3">
      <c r="B183" s="126">
        <v>180</v>
      </c>
      <c r="C183" s="125">
        <v>218.92</v>
      </c>
      <c r="D183" s="125">
        <v>70.25</v>
      </c>
      <c r="E183" s="124">
        <v>31.19</v>
      </c>
      <c r="K183" s="3"/>
      <c r="L183" s="3"/>
    </row>
    <row r="184" spans="2:12" x14ac:dyDescent="0.3">
      <c r="B184" s="126">
        <v>181</v>
      </c>
      <c r="C184" s="125">
        <v>200.71</v>
      </c>
      <c r="D184" s="125">
        <v>68</v>
      </c>
      <c r="E184" s="124">
        <v>30.51</v>
      </c>
      <c r="K184" s="3"/>
      <c r="L184" s="3"/>
    </row>
    <row r="185" spans="2:12" x14ac:dyDescent="0.3">
      <c r="B185" s="126">
        <v>182</v>
      </c>
      <c r="C185" s="125">
        <v>122.9</v>
      </c>
      <c r="D185" s="125">
        <v>67.8</v>
      </c>
      <c r="E185" s="124">
        <v>18.79</v>
      </c>
      <c r="K185" s="3"/>
      <c r="L185" s="3"/>
    </row>
    <row r="186" spans="2:12" x14ac:dyDescent="0.3">
      <c r="B186" s="126">
        <v>183</v>
      </c>
      <c r="C186" s="125">
        <v>124.36</v>
      </c>
      <c r="D186" s="125">
        <v>68.25</v>
      </c>
      <c r="E186" s="124">
        <v>18.77</v>
      </c>
      <c r="K186" s="3"/>
      <c r="L186" s="3"/>
    </row>
    <row r="187" spans="2:12" x14ac:dyDescent="0.3">
      <c r="B187" s="126">
        <v>184</v>
      </c>
      <c r="C187" s="125">
        <v>179.55</v>
      </c>
      <c r="D187" s="125">
        <v>71.17</v>
      </c>
      <c r="E187" s="124">
        <v>24.92</v>
      </c>
      <c r="K187" s="3"/>
      <c r="L187" s="3"/>
    </row>
    <row r="188" spans="2:12" x14ac:dyDescent="0.3">
      <c r="B188" s="126">
        <v>185</v>
      </c>
      <c r="C188" s="125">
        <v>197.01</v>
      </c>
      <c r="D188" s="125">
        <v>70.89</v>
      </c>
      <c r="E188" s="124">
        <v>27.56</v>
      </c>
      <c r="K188" s="3"/>
      <c r="L188" s="3"/>
    </row>
    <row r="189" spans="2:12" x14ac:dyDescent="0.3">
      <c r="B189" s="126">
        <v>186</v>
      </c>
      <c r="C189" s="125">
        <v>174.77</v>
      </c>
      <c r="D189" s="125">
        <v>68.900000000000006</v>
      </c>
      <c r="E189" s="124">
        <v>25.88</v>
      </c>
      <c r="K189" s="3"/>
      <c r="L189" s="3"/>
    </row>
    <row r="190" spans="2:12" x14ac:dyDescent="0.3">
      <c r="B190" s="126">
        <v>187</v>
      </c>
      <c r="C190" s="125">
        <v>169.85</v>
      </c>
      <c r="D190" s="125">
        <v>71.180000000000007</v>
      </c>
      <c r="E190" s="124">
        <v>23.56</v>
      </c>
      <c r="K190" s="3"/>
      <c r="L190" s="3"/>
    </row>
    <row r="191" spans="2:12" x14ac:dyDescent="0.3">
      <c r="B191" s="126">
        <v>188</v>
      </c>
      <c r="C191" s="125">
        <v>208.79</v>
      </c>
      <c r="D191" s="125">
        <v>69.33</v>
      </c>
      <c r="E191" s="124">
        <v>30.53</v>
      </c>
      <c r="K191" s="3"/>
      <c r="L191" s="3"/>
    </row>
    <row r="192" spans="2:12" x14ac:dyDescent="0.3">
      <c r="B192" s="126">
        <v>189</v>
      </c>
      <c r="C192" s="125">
        <v>143.54</v>
      </c>
      <c r="D192" s="125">
        <v>71.09</v>
      </c>
      <c r="E192" s="124">
        <v>19.96</v>
      </c>
      <c r="K192" s="3"/>
      <c r="L192" s="3"/>
    </row>
    <row r="193" spans="2:12" x14ac:dyDescent="0.3">
      <c r="B193" s="126">
        <v>190</v>
      </c>
      <c r="C193" s="125">
        <v>153.47999999999999</v>
      </c>
      <c r="D193" s="125">
        <v>69.72</v>
      </c>
      <c r="E193" s="124">
        <v>22.2</v>
      </c>
      <c r="K193" s="3"/>
      <c r="L193" s="3"/>
    </row>
    <row r="194" spans="2:12" x14ac:dyDescent="0.3">
      <c r="B194" s="126">
        <v>191</v>
      </c>
      <c r="C194" s="125">
        <v>157.97999999999999</v>
      </c>
      <c r="D194" s="125">
        <v>71.12</v>
      </c>
      <c r="E194" s="124">
        <v>21.96</v>
      </c>
      <c r="K194" s="3"/>
      <c r="L194" s="3"/>
    </row>
    <row r="195" spans="2:12" x14ac:dyDescent="0.3">
      <c r="B195" s="126">
        <v>192</v>
      </c>
      <c r="C195" s="125">
        <v>152.88</v>
      </c>
      <c r="D195" s="125">
        <v>69.41</v>
      </c>
      <c r="E195" s="124">
        <v>22.31</v>
      </c>
      <c r="K195" s="3"/>
      <c r="L195" s="3"/>
    </row>
    <row r="196" spans="2:12" x14ac:dyDescent="0.3">
      <c r="B196" s="126">
        <v>193</v>
      </c>
      <c r="C196" s="125">
        <v>173.23</v>
      </c>
      <c r="D196" s="125">
        <v>68.64</v>
      </c>
      <c r="E196" s="124">
        <v>25.85</v>
      </c>
      <c r="K196" s="3"/>
      <c r="L196" s="3"/>
    </row>
    <row r="197" spans="2:12" x14ac:dyDescent="0.3">
      <c r="B197" s="126">
        <v>194</v>
      </c>
      <c r="C197" s="125">
        <v>168.29</v>
      </c>
      <c r="D197" s="125">
        <v>71.180000000000007</v>
      </c>
      <c r="E197" s="124">
        <v>23.35</v>
      </c>
      <c r="K197" s="3"/>
      <c r="L197" s="3"/>
    </row>
    <row r="198" spans="2:12" x14ac:dyDescent="0.3">
      <c r="B198" s="126">
        <v>195</v>
      </c>
      <c r="C198" s="125">
        <v>190.75</v>
      </c>
      <c r="D198" s="125">
        <v>70.31</v>
      </c>
      <c r="E198" s="124">
        <v>27.13</v>
      </c>
      <c r="K198" s="3"/>
      <c r="L198" s="3"/>
    </row>
    <row r="199" spans="2:12" x14ac:dyDescent="0.3">
      <c r="B199" s="126">
        <v>196</v>
      </c>
      <c r="C199" s="125">
        <v>161.66</v>
      </c>
      <c r="D199" s="125">
        <v>68.05</v>
      </c>
      <c r="E199" s="124">
        <v>24.54</v>
      </c>
      <c r="K199" s="3"/>
      <c r="L199" s="3"/>
    </row>
    <row r="200" spans="2:12" x14ac:dyDescent="0.3">
      <c r="B200" s="126">
        <v>197</v>
      </c>
      <c r="C200" s="125">
        <v>205.68</v>
      </c>
      <c r="D200" s="125">
        <v>69.23</v>
      </c>
      <c r="E200" s="124">
        <v>30.17</v>
      </c>
      <c r="K200" s="3"/>
      <c r="L200" s="3"/>
    </row>
    <row r="201" spans="2:12" x14ac:dyDescent="0.3">
      <c r="B201" s="126">
        <v>198</v>
      </c>
      <c r="C201" s="125">
        <v>192.53</v>
      </c>
      <c r="D201" s="125">
        <v>69.58</v>
      </c>
      <c r="E201" s="124">
        <v>27.96</v>
      </c>
      <c r="K201" s="3"/>
      <c r="L201" s="3"/>
    </row>
    <row r="202" spans="2:12" x14ac:dyDescent="0.3">
      <c r="B202" s="126">
        <v>199</v>
      </c>
      <c r="C202" s="125">
        <v>186.49</v>
      </c>
      <c r="D202" s="125">
        <v>68.69</v>
      </c>
      <c r="E202" s="124">
        <v>27.78</v>
      </c>
      <c r="K202" s="3"/>
      <c r="L202" s="3"/>
    </row>
    <row r="203" spans="2:12" ht="15" thickBot="1" x14ac:dyDescent="0.35">
      <c r="B203" s="123">
        <v>200</v>
      </c>
      <c r="C203" s="122">
        <v>139.13</v>
      </c>
      <c r="D203" s="122">
        <v>69.95</v>
      </c>
      <c r="E203" s="121">
        <v>19.989999999999998</v>
      </c>
      <c r="K203" s="3"/>
      <c r="L203" s="3"/>
    </row>
    <row r="204" spans="2:12" x14ac:dyDescent="0.3">
      <c r="K204" s="3"/>
      <c r="L204" s="3"/>
    </row>
    <row r="205" spans="2:12" x14ac:dyDescent="0.3">
      <c r="K205" s="3"/>
      <c r="L205" s="3"/>
    </row>
    <row r="206" spans="2:12" x14ac:dyDescent="0.3">
      <c r="K206" s="3"/>
      <c r="L206" s="3"/>
    </row>
    <row r="207" spans="2:12" x14ac:dyDescent="0.3">
      <c r="K207" s="3"/>
      <c r="L207" s="3"/>
    </row>
    <row r="208" spans="2:12" x14ac:dyDescent="0.3">
      <c r="K208" s="3"/>
      <c r="L208" s="3"/>
    </row>
    <row r="209" spans="11:15" x14ac:dyDescent="0.3">
      <c r="K209" s="3"/>
      <c r="L209" s="3"/>
    </row>
    <row r="210" spans="11:15" x14ac:dyDescent="0.3">
      <c r="K210" s="3"/>
      <c r="L210" s="3"/>
    </row>
    <row r="211" spans="11:15" x14ac:dyDescent="0.3">
      <c r="K211" s="3"/>
      <c r="L211" s="3"/>
    </row>
    <row r="212" spans="11:15" x14ac:dyDescent="0.3">
      <c r="K212" s="3"/>
      <c r="L212" s="3"/>
    </row>
    <row r="213" spans="11:15" x14ac:dyDescent="0.3">
      <c r="K213" s="3"/>
      <c r="L213" s="3"/>
    </row>
    <row r="214" spans="11:15" x14ac:dyDescent="0.3">
      <c r="K214" s="3"/>
      <c r="L214" s="3"/>
    </row>
    <row r="215" spans="11:15" x14ac:dyDescent="0.3">
      <c r="N215" s="3"/>
      <c r="O215" s="3"/>
    </row>
    <row r="216" spans="11:15" x14ac:dyDescent="0.3">
      <c r="N216" s="3"/>
      <c r="O216" s="3"/>
    </row>
    <row r="217" spans="11:15" x14ac:dyDescent="0.3">
      <c r="N217" s="3"/>
      <c r="O217" s="3"/>
    </row>
    <row r="218" spans="11:15" x14ac:dyDescent="0.3">
      <c r="N218" s="3"/>
      <c r="O218" s="3"/>
    </row>
    <row r="219" spans="11:15" x14ac:dyDescent="0.3">
      <c r="N219" s="3"/>
      <c r="O219" s="3"/>
    </row>
    <row r="220" spans="11:15" x14ac:dyDescent="0.3">
      <c r="N220" s="3"/>
      <c r="O220" s="3"/>
    </row>
    <row r="221" spans="11:15" x14ac:dyDescent="0.3">
      <c r="N221" s="3"/>
      <c r="O221" s="3"/>
    </row>
    <row r="222" spans="11:15" x14ac:dyDescent="0.3">
      <c r="N222" s="3"/>
      <c r="O222" s="3"/>
    </row>
    <row r="223" spans="11:15" x14ac:dyDescent="0.3">
      <c r="N223" s="3"/>
      <c r="O223" s="3"/>
    </row>
    <row r="224" spans="11:15" x14ac:dyDescent="0.3">
      <c r="N224" s="3"/>
      <c r="O224" s="3"/>
    </row>
    <row r="225" spans="14:15" x14ac:dyDescent="0.3">
      <c r="N225" s="3"/>
      <c r="O225" s="3"/>
    </row>
    <row r="226" spans="14:15" x14ac:dyDescent="0.3">
      <c r="N226" s="3"/>
      <c r="O226" s="3"/>
    </row>
    <row r="227" spans="14:15" x14ac:dyDescent="0.3">
      <c r="N227" s="3"/>
      <c r="O227" s="3"/>
    </row>
    <row r="228" spans="14:15" x14ac:dyDescent="0.3">
      <c r="N228" s="3"/>
      <c r="O228" s="3"/>
    </row>
    <row r="229" spans="14:15" x14ac:dyDescent="0.3">
      <c r="N229" s="3"/>
      <c r="O229" s="3"/>
    </row>
    <row r="230" spans="14:15" x14ac:dyDescent="0.3">
      <c r="N230" s="3"/>
      <c r="O230" s="3"/>
    </row>
    <row r="231" spans="14:15" x14ac:dyDescent="0.3">
      <c r="N231" s="3"/>
      <c r="O231" s="3"/>
    </row>
    <row r="232" spans="14:15" x14ac:dyDescent="0.3">
      <c r="N232" s="3"/>
      <c r="O232" s="3"/>
    </row>
    <row r="233" spans="14:15" x14ac:dyDescent="0.3">
      <c r="N233" s="3"/>
      <c r="O233" s="3"/>
    </row>
    <row r="234" spans="14:15" x14ac:dyDescent="0.3">
      <c r="N234" s="3"/>
      <c r="O234" s="3"/>
    </row>
    <row r="235" spans="14:15" x14ac:dyDescent="0.3">
      <c r="N235" s="3"/>
      <c r="O235" s="3"/>
    </row>
    <row r="236" spans="14:15" x14ac:dyDescent="0.3">
      <c r="N236" s="3"/>
      <c r="O236" s="3"/>
    </row>
    <row r="237" spans="14:15" x14ac:dyDescent="0.3">
      <c r="N237" s="3"/>
      <c r="O237" s="3"/>
    </row>
    <row r="238" spans="14:15" x14ac:dyDescent="0.3">
      <c r="N238" s="3"/>
      <c r="O238" s="3"/>
    </row>
    <row r="239" spans="14:15" x14ac:dyDescent="0.3">
      <c r="N239" s="3"/>
      <c r="O239" s="3"/>
    </row>
    <row r="240" spans="14:15" x14ac:dyDescent="0.3">
      <c r="N240" s="3"/>
      <c r="O240" s="3"/>
    </row>
    <row r="241" spans="14:15" x14ac:dyDescent="0.3">
      <c r="N241" s="3"/>
      <c r="O241" s="3"/>
    </row>
    <row r="242" spans="14:15" x14ac:dyDescent="0.3">
      <c r="N242" s="3"/>
      <c r="O242" s="3"/>
    </row>
    <row r="243" spans="14:15" x14ac:dyDescent="0.3">
      <c r="N243" s="3"/>
      <c r="O243" s="3"/>
    </row>
    <row r="244" spans="14:15" x14ac:dyDescent="0.3">
      <c r="N244" s="3"/>
      <c r="O244" s="3"/>
    </row>
    <row r="245" spans="14:15" x14ac:dyDescent="0.3">
      <c r="N245" s="3"/>
      <c r="O245" s="3"/>
    </row>
    <row r="246" spans="14:15" x14ac:dyDescent="0.3">
      <c r="N246" s="3"/>
      <c r="O246" s="3"/>
    </row>
    <row r="247" spans="14:15" x14ac:dyDescent="0.3">
      <c r="N247" s="3"/>
      <c r="O247" s="3"/>
    </row>
    <row r="248" spans="14:15" x14ac:dyDescent="0.3">
      <c r="N248" s="3"/>
      <c r="O248" s="3"/>
    </row>
    <row r="249" spans="14:15" x14ac:dyDescent="0.3">
      <c r="N249" s="3"/>
      <c r="O249" s="3"/>
    </row>
    <row r="250" spans="14:15" x14ac:dyDescent="0.3">
      <c r="N250" s="3"/>
      <c r="O250" s="3"/>
    </row>
    <row r="251" spans="14:15" x14ac:dyDescent="0.3">
      <c r="N251" s="3"/>
      <c r="O251" s="3"/>
    </row>
    <row r="252" spans="14:15" x14ac:dyDescent="0.3">
      <c r="N252" s="3"/>
      <c r="O252" s="3"/>
    </row>
    <row r="253" spans="14:15" x14ac:dyDescent="0.3">
      <c r="N253" s="3"/>
      <c r="O253" s="3"/>
    </row>
    <row r="254" spans="14:15" x14ac:dyDescent="0.3">
      <c r="N254" s="3"/>
      <c r="O254" s="3"/>
    </row>
    <row r="255" spans="14:15" x14ac:dyDescent="0.3">
      <c r="N255" s="3"/>
      <c r="O255" s="3"/>
    </row>
    <row r="256" spans="14:15" x14ac:dyDescent="0.3">
      <c r="N256" s="3"/>
      <c r="O256" s="3"/>
    </row>
    <row r="257" spans="14:15" x14ac:dyDescent="0.3">
      <c r="N257" s="3"/>
      <c r="O257" s="3"/>
    </row>
    <row r="258" spans="14:15" x14ac:dyDescent="0.3">
      <c r="N258" s="3"/>
      <c r="O258" s="3"/>
    </row>
    <row r="259" spans="14:15" x14ac:dyDescent="0.3">
      <c r="N259" s="3"/>
      <c r="O259" s="3"/>
    </row>
    <row r="260" spans="14:15" x14ac:dyDescent="0.3">
      <c r="N260" s="3"/>
      <c r="O260" s="3"/>
    </row>
    <row r="261" spans="14:15" x14ac:dyDescent="0.3">
      <c r="N261" s="3"/>
      <c r="O261" s="3"/>
    </row>
    <row r="262" spans="14:15" x14ac:dyDescent="0.3">
      <c r="N262" s="3"/>
      <c r="O262" s="3"/>
    </row>
    <row r="263" spans="14:15" x14ac:dyDescent="0.3">
      <c r="N263" s="3"/>
      <c r="O263" s="3"/>
    </row>
    <row r="264" spans="14:15" x14ac:dyDescent="0.3">
      <c r="N264" s="3"/>
      <c r="O264" s="3"/>
    </row>
    <row r="265" spans="14:15" x14ac:dyDescent="0.3">
      <c r="N265" s="3"/>
      <c r="O265" s="3"/>
    </row>
    <row r="266" spans="14:15" x14ac:dyDescent="0.3">
      <c r="N266" s="3"/>
      <c r="O266" s="3"/>
    </row>
    <row r="267" spans="14:15" x14ac:dyDescent="0.3">
      <c r="N267" s="3"/>
      <c r="O267" s="3"/>
    </row>
    <row r="268" spans="14:15" x14ac:dyDescent="0.3">
      <c r="N268" s="3"/>
      <c r="O268" s="3"/>
    </row>
    <row r="269" spans="14:15" x14ac:dyDescent="0.3">
      <c r="N269" s="3"/>
      <c r="O269" s="3"/>
    </row>
    <row r="270" spans="14:15" x14ac:dyDescent="0.3">
      <c r="N270" s="3"/>
      <c r="O270" s="3"/>
    </row>
    <row r="271" spans="14:15" x14ac:dyDescent="0.3">
      <c r="N271" s="3"/>
      <c r="O271" s="3"/>
    </row>
    <row r="272" spans="14:15" x14ac:dyDescent="0.3">
      <c r="N272" s="3"/>
      <c r="O272" s="3"/>
    </row>
    <row r="273" spans="14:15" x14ac:dyDescent="0.3">
      <c r="N273" s="3"/>
      <c r="O273" s="3"/>
    </row>
    <row r="274" spans="14:15" x14ac:dyDescent="0.3">
      <c r="N274" s="3"/>
      <c r="O274" s="3"/>
    </row>
    <row r="275" spans="14:15" x14ac:dyDescent="0.3">
      <c r="N275" s="3"/>
      <c r="O275" s="3"/>
    </row>
    <row r="276" spans="14:15" x14ac:dyDescent="0.3">
      <c r="N276" s="3"/>
      <c r="O276" s="3"/>
    </row>
    <row r="277" spans="14:15" x14ac:dyDescent="0.3">
      <c r="N277" s="3"/>
      <c r="O277" s="3"/>
    </row>
    <row r="278" spans="14:15" x14ac:dyDescent="0.3">
      <c r="N278" s="3"/>
      <c r="O278" s="3"/>
    </row>
    <row r="279" spans="14:15" x14ac:dyDescent="0.3">
      <c r="N279" s="3"/>
      <c r="O279" s="3"/>
    </row>
    <row r="280" spans="14:15" x14ac:dyDescent="0.3">
      <c r="N280" s="3"/>
      <c r="O280" s="3"/>
    </row>
    <row r="281" spans="14:15" x14ac:dyDescent="0.3">
      <c r="N281" s="3"/>
      <c r="O281" s="3"/>
    </row>
    <row r="282" spans="14:15" x14ac:dyDescent="0.3">
      <c r="N282" s="3"/>
      <c r="O282" s="3"/>
    </row>
    <row r="283" spans="14:15" x14ac:dyDescent="0.3">
      <c r="N283" s="3"/>
      <c r="O283" s="3"/>
    </row>
    <row r="284" spans="14:15" x14ac:dyDescent="0.3">
      <c r="N284" s="3"/>
      <c r="O284" s="3"/>
    </row>
    <row r="285" spans="14:15" x14ac:dyDescent="0.3">
      <c r="N285" s="3"/>
      <c r="O285" s="3"/>
    </row>
    <row r="286" spans="14:15" x14ac:dyDescent="0.3">
      <c r="N286" s="3"/>
      <c r="O286" s="3"/>
    </row>
    <row r="287" spans="14:15" x14ac:dyDescent="0.3">
      <c r="N287" s="3"/>
      <c r="O287" s="3"/>
    </row>
    <row r="288" spans="14:15" x14ac:dyDescent="0.3">
      <c r="N288" s="3"/>
      <c r="O288" s="3"/>
    </row>
    <row r="289" spans="14:15" x14ac:dyDescent="0.3">
      <c r="N289" s="3"/>
      <c r="O289" s="3"/>
    </row>
    <row r="290" spans="14:15" x14ac:dyDescent="0.3">
      <c r="N290" s="3"/>
      <c r="O290" s="3"/>
    </row>
    <row r="291" spans="14:15" x14ac:dyDescent="0.3">
      <c r="N291" s="3"/>
      <c r="O291" s="3"/>
    </row>
    <row r="292" spans="14:15" x14ac:dyDescent="0.3">
      <c r="N292" s="3"/>
      <c r="O292" s="3"/>
    </row>
    <row r="293" spans="14:15" x14ac:dyDescent="0.3">
      <c r="N293" s="3"/>
      <c r="O293" s="3"/>
    </row>
    <row r="294" spans="14:15" x14ac:dyDescent="0.3">
      <c r="N294" s="3"/>
      <c r="O294" s="3"/>
    </row>
    <row r="295" spans="14:15" x14ac:dyDescent="0.3">
      <c r="N295" s="3"/>
      <c r="O295" s="3"/>
    </row>
    <row r="296" spans="14:15" x14ac:dyDescent="0.3">
      <c r="N296" s="3"/>
      <c r="O296" s="3"/>
    </row>
    <row r="297" spans="14:15" x14ac:dyDescent="0.3">
      <c r="N297" s="3"/>
      <c r="O297" s="3"/>
    </row>
    <row r="298" spans="14:15" x14ac:dyDescent="0.3">
      <c r="N298" s="3"/>
      <c r="O298" s="3"/>
    </row>
    <row r="299" spans="14:15" x14ac:dyDescent="0.3">
      <c r="N299" s="3"/>
      <c r="O299" s="3"/>
    </row>
    <row r="300" spans="14:15" x14ac:dyDescent="0.3">
      <c r="N300" s="3"/>
      <c r="O300" s="3"/>
    </row>
    <row r="301" spans="14:15" x14ac:dyDescent="0.3">
      <c r="N301" s="3"/>
      <c r="O301" s="3"/>
    </row>
    <row r="302" spans="14:15" x14ac:dyDescent="0.3">
      <c r="N302" s="3"/>
      <c r="O302" s="3"/>
    </row>
    <row r="303" spans="14:15" x14ac:dyDescent="0.3">
      <c r="N303" s="3"/>
      <c r="O303" s="3"/>
    </row>
    <row r="304" spans="14:15" x14ac:dyDescent="0.3">
      <c r="N304" s="3"/>
      <c r="O304" s="3"/>
    </row>
    <row r="305" spans="14:15" x14ac:dyDescent="0.3">
      <c r="N305" s="3"/>
      <c r="O305" s="3"/>
    </row>
    <row r="306" spans="14:15" x14ac:dyDescent="0.3">
      <c r="N306" s="3"/>
      <c r="O306" s="3"/>
    </row>
    <row r="307" spans="14:15" x14ac:dyDescent="0.3">
      <c r="N307" s="3"/>
      <c r="O307" s="3"/>
    </row>
    <row r="308" spans="14:15" x14ac:dyDescent="0.3">
      <c r="N308" s="3"/>
      <c r="O308" s="3"/>
    </row>
    <row r="309" spans="14:15" x14ac:dyDescent="0.3">
      <c r="N309" s="3"/>
      <c r="O309" s="3"/>
    </row>
    <row r="310" spans="14:15" x14ac:dyDescent="0.3">
      <c r="N310" s="3"/>
      <c r="O310" s="3"/>
    </row>
    <row r="311" spans="14:15" x14ac:dyDescent="0.3">
      <c r="N311" s="3"/>
      <c r="O311" s="3"/>
    </row>
    <row r="312" spans="14:15" x14ac:dyDescent="0.3">
      <c r="N312" s="3"/>
      <c r="O312" s="3"/>
    </row>
    <row r="313" spans="14:15" x14ac:dyDescent="0.3">
      <c r="N313" s="3"/>
      <c r="O313" s="3"/>
    </row>
    <row r="314" spans="14:15" x14ac:dyDescent="0.3">
      <c r="N314" s="3"/>
      <c r="O314" s="3"/>
    </row>
    <row r="315" spans="14:15" x14ac:dyDescent="0.3">
      <c r="N315" s="3"/>
      <c r="O315" s="3"/>
    </row>
    <row r="316" spans="14:15" x14ac:dyDescent="0.3">
      <c r="N316" s="3"/>
      <c r="O316" s="3"/>
    </row>
    <row r="317" spans="14:15" x14ac:dyDescent="0.3">
      <c r="N317" s="3"/>
      <c r="O317" s="3"/>
    </row>
    <row r="318" spans="14:15" x14ac:dyDescent="0.3">
      <c r="N318" s="3"/>
      <c r="O318" s="3"/>
    </row>
    <row r="319" spans="14:15" x14ac:dyDescent="0.3">
      <c r="N319" s="3"/>
      <c r="O319" s="3"/>
    </row>
    <row r="320" spans="14:15" x14ac:dyDescent="0.3">
      <c r="N320" s="3"/>
      <c r="O320" s="3"/>
    </row>
    <row r="321" spans="14:15" x14ac:dyDescent="0.3">
      <c r="N321" s="3"/>
      <c r="O321" s="3"/>
    </row>
    <row r="322" spans="14:15" x14ac:dyDescent="0.3">
      <c r="N322" s="3"/>
      <c r="O322" s="3"/>
    </row>
    <row r="323" spans="14:15" x14ac:dyDescent="0.3">
      <c r="N323" s="3"/>
      <c r="O323" s="3"/>
    </row>
    <row r="324" spans="14:15" x14ac:dyDescent="0.3">
      <c r="N324" s="3"/>
      <c r="O324" s="3"/>
    </row>
    <row r="325" spans="14:15" x14ac:dyDescent="0.3">
      <c r="N325" s="3"/>
      <c r="O325" s="3"/>
    </row>
    <row r="326" spans="14:15" x14ac:dyDescent="0.3">
      <c r="N326" s="3"/>
      <c r="O326" s="3"/>
    </row>
    <row r="327" spans="14:15" x14ac:dyDescent="0.3">
      <c r="N327" s="3"/>
      <c r="O327" s="3"/>
    </row>
    <row r="328" spans="14:15" x14ac:dyDescent="0.3">
      <c r="N328" s="3"/>
      <c r="O328" s="3"/>
    </row>
    <row r="329" spans="14:15" x14ac:dyDescent="0.3">
      <c r="N329" s="3"/>
      <c r="O329" s="3"/>
    </row>
    <row r="330" spans="14:15" x14ac:dyDescent="0.3">
      <c r="N330" s="3"/>
      <c r="O330" s="3"/>
    </row>
    <row r="331" spans="14:15" x14ac:dyDescent="0.3">
      <c r="N331" s="3"/>
      <c r="O331" s="3"/>
    </row>
    <row r="332" spans="14:15" x14ac:dyDescent="0.3">
      <c r="N332" s="3"/>
      <c r="O332" s="3"/>
    </row>
    <row r="333" spans="14:15" x14ac:dyDescent="0.3">
      <c r="N333" s="3"/>
      <c r="O333" s="3"/>
    </row>
    <row r="334" spans="14:15" x14ac:dyDescent="0.3">
      <c r="N334" s="3"/>
      <c r="O334" s="3"/>
    </row>
    <row r="335" spans="14:15" x14ac:dyDescent="0.3">
      <c r="N335" s="3"/>
      <c r="O335" s="3"/>
    </row>
    <row r="336" spans="14:15" x14ac:dyDescent="0.3">
      <c r="N336" s="3"/>
      <c r="O336" s="3"/>
    </row>
    <row r="337" spans="14:15" x14ac:dyDescent="0.3">
      <c r="N337" s="3"/>
      <c r="O337" s="3"/>
    </row>
    <row r="338" spans="14:15" x14ac:dyDescent="0.3">
      <c r="N338" s="3"/>
      <c r="O338" s="3"/>
    </row>
    <row r="339" spans="14:15" x14ac:dyDescent="0.3">
      <c r="N339" s="3"/>
      <c r="O339" s="3"/>
    </row>
    <row r="340" spans="14:15" x14ac:dyDescent="0.3">
      <c r="N340" s="3"/>
      <c r="O340" s="3"/>
    </row>
    <row r="341" spans="14:15" x14ac:dyDescent="0.3">
      <c r="N341" s="3"/>
      <c r="O341" s="3"/>
    </row>
    <row r="342" spans="14:15" x14ac:dyDescent="0.3">
      <c r="N342" s="3"/>
      <c r="O342" s="3"/>
    </row>
    <row r="343" spans="14:15" x14ac:dyDescent="0.3">
      <c r="N343" s="3"/>
      <c r="O343" s="3"/>
    </row>
    <row r="344" spans="14:15" x14ac:dyDescent="0.3">
      <c r="N344" s="3"/>
      <c r="O344" s="3"/>
    </row>
    <row r="345" spans="14:15" x14ac:dyDescent="0.3">
      <c r="N345" s="3"/>
      <c r="O345" s="3"/>
    </row>
    <row r="346" spans="14:15" x14ac:dyDescent="0.3">
      <c r="N346" s="3"/>
      <c r="O346" s="3"/>
    </row>
    <row r="347" spans="14:15" x14ac:dyDescent="0.3">
      <c r="N347" s="3"/>
      <c r="O347" s="3"/>
    </row>
    <row r="348" spans="14:15" x14ac:dyDescent="0.3">
      <c r="N348" s="3"/>
      <c r="O348" s="3"/>
    </row>
    <row r="349" spans="14:15" x14ac:dyDescent="0.3">
      <c r="N349" s="3"/>
      <c r="O349" s="3"/>
    </row>
    <row r="350" spans="14:15" x14ac:dyDescent="0.3">
      <c r="N350" s="3"/>
      <c r="O350" s="3"/>
    </row>
    <row r="351" spans="14:15" x14ac:dyDescent="0.3">
      <c r="N351" s="3"/>
      <c r="O351" s="3"/>
    </row>
    <row r="352" spans="14:15" x14ac:dyDescent="0.3">
      <c r="N352" s="3"/>
      <c r="O352" s="3"/>
    </row>
    <row r="353" spans="14:15" x14ac:dyDescent="0.3">
      <c r="N353" s="3"/>
      <c r="O353" s="3"/>
    </row>
    <row r="354" spans="14:15" x14ac:dyDescent="0.3">
      <c r="N354" s="3"/>
      <c r="O354" s="3"/>
    </row>
    <row r="355" spans="14:15" x14ac:dyDescent="0.3">
      <c r="N355" s="3"/>
      <c r="O355" s="3"/>
    </row>
    <row r="356" spans="14:15" x14ac:dyDescent="0.3">
      <c r="N356" s="3"/>
      <c r="O356" s="3"/>
    </row>
    <row r="357" spans="14:15" x14ac:dyDescent="0.3">
      <c r="N357" s="3"/>
      <c r="O357" s="3"/>
    </row>
    <row r="358" spans="14:15" x14ac:dyDescent="0.3">
      <c r="N358" s="3"/>
      <c r="O358" s="3"/>
    </row>
    <row r="359" spans="14:15" x14ac:dyDescent="0.3">
      <c r="N359" s="3"/>
      <c r="O359" s="3"/>
    </row>
    <row r="360" spans="14:15" x14ac:dyDescent="0.3">
      <c r="N360" s="3"/>
      <c r="O360" s="3"/>
    </row>
    <row r="361" spans="14:15" x14ac:dyDescent="0.3">
      <c r="N361" s="3"/>
      <c r="O361" s="3"/>
    </row>
    <row r="362" spans="14:15" x14ac:dyDescent="0.3">
      <c r="N362" s="3"/>
      <c r="O362" s="3"/>
    </row>
    <row r="363" spans="14:15" x14ac:dyDescent="0.3">
      <c r="N363" s="3"/>
      <c r="O363" s="3"/>
    </row>
    <row r="364" spans="14:15" x14ac:dyDescent="0.3">
      <c r="N364" s="3"/>
      <c r="O364" s="3"/>
    </row>
    <row r="365" spans="14:15" x14ac:dyDescent="0.3">
      <c r="N365" s="3"/>
      <c r="O365" s="3"/>
    </row>
    <row r="366" spans="14:15" x14ac:dyDescent="0.3">
      <c r="N366" s="3"/>
      <c r="O366" s="3"/>
    </row>
    <row r="367" spans="14:15" x14ac:dyDescent="0.3">
      <c r="N367" s="3"/>
      <c r="O367" s="3"/>
    </row>
    <row r="368" spans="14:15" x14ac:dyDescent="0.3">
      <c r="N368" s="3"/>
      <c r="O368" s="3"/>
    </row>
    <row r="369" spans="14:15" x14ac:dyDescent="0.3">
      <c r="N369" s="3"/>
      <c r="O369" s="3"/>
    </row>
    <row r="370" spans="14:15" x14ac:dyDescent="0.3">
      <c r="N370" s="3"/>
      <c r="O370" s="3"/>
    </row>
    <row r="371" spans="14:15" x14ac:dyDescent="0.3">
      <c r="N371" s="3"/>
      <c r="O371" s="3"/>
    </row>
    <row r="372" spans="14:15" x14ac:dyDescent="0.3">
      <c r="N372" s="3"/>
      <c r="O372" s="3"/>
    </row>
    <row r="373" spans="14:15" x14ac:dyDescent="0.3">
      <c r="N373" s="3"/>
      <c r="O373" s="3"/>
    </row>
    <row r="374" spans="14:15" x14ac:dyDescent="0.3">
      <c r="N374" s="3"/>
      <c r="O374" s="3"/>
    </row>
    <row r="375" spans="14:15" x14ac:dyDescent="0.3">
      <c r="N375" s="3"/>
      <c r="O375" s="3"/>
    </row>
    <row r="376" spans="14:15" x14ac:dyDescent="0.3">
      <c r="N376" s="3"/>
      <c r="O376" s="3"/>
    </row>
    <row r="377" spans="14:15" x14ac:dyDescent="0.3">
      <c r="N377" s="3"/>
      <c r="O377" s="3"/>
    </row>
    <row r="378" spans="14:15" x14ac:dyDescent="0.3">
      <c r="N378" s="3"/>
      <c r="O378" s="3"/>
    </row>
    <row r="379" spans="14:15" x14ac:dyDescent="0.3">
      <c r="N379" s="3"/>
      <c r="O379" s="3"/>
    </row>
    <row r="380" spans="14:15" x14ac:dyDescent="0.3">
      <c r="N380" s="3"/>
      <c r="O380" s="3"/>
    </row>
    <row r="381" spans="14:15" x14ac:dyDescent="0.3">
      <c r="N381" s="3"/>
      <c r="O381" s="3"/>
    </row>
    <row r="382" spans="14:15" x14ac:dyDescent="0.3">
      <c r="N382" s="3"/>
      <c r="O382" s="3"/>
    </row>
    <row r="383" spans="14:15" x14ac:dyDescent="0.3">
      <c r="N383" s="3"/>
      <c r="O383" s="3"/>
    </row>
    <row r="384" spans="14:15" x14ac:dyDescent="0.3">
      <c r="N384" s="3"/>
      <c r="O384" s="3"/>
    </row>
    <row r="385" spans="14:15" x14ac:dyDescent="0.3">
      <c r="N385" s="3"/>
      <c r="O385" s="3"/>
    </row>
    <row r="386" spans="14:15" x14ac:dyDescent="0.3">
      <c r="N386" s="3"/>
      <c r="O386" s="3"/>
    </row>
    <row r="387" spans="14:15" x14ac:dyDescent="0.3">
      <c r="N387" s="3"/>
      <c r="O387" s="3"/>
    </row>
    <row r="388" spans="14:15" x14ac:dyDescent="0.3">
      <c r="N388" s="3"/>
      <c r="O388" s="3"/>
    </row>
    <row r="389" spans="14:15" x14ac:dyDescent="0.3">
      <c r="N389" s="3"/>
      <c r="O389" s="3"/>
    </row>
    <row r="390" spans="14:15" x14ac:dyDescent="0.3">
      <c r="N390" s="3"/>
      <c r="O390" s="3"/>
    </row>
    <row r="391" spans="14:15" x14ac:dyDescent="0.3">
      <c r="N391" s="3"/>
      <c r="O391" s="3"/>
    </row>
    <row r="392" spans="14:15" x14ac:dyDescent="0.3">
      <c r="N392" s="3"/>
      <c r="O392" s="3"/>
    </row>
    <row r="393" spans="14:15" x14ac:dyDescent="0.3">
      <c r="N393" s="3"/>
      <c r="O393" s="3"/>
    </row>
    <row r="394" spans="14:15" x14ac:dyDescent="0.3">
      <c r="N394" s="3"/>
      <c r="O394" s="3"/>
    </row>
    <row r="395" spans="14:15" x14ac:dyDescent="0.3">
      <c r="N395" s="3"/>
      <c r="O395" s="3"/>
    </row>
    <row r="396" spans="14:15" x14ac:dyDescent="0.3">
      <c r="N396" s="3"/>
      <c r="O396" s="3"/>
    </row>
    <row r="397" spans="14:15" x14ac:dyDescent="0.3">
      <c r="N397" s="3"/>
      <c r="O397" s="3"/>
    </row>
    <row r="398" spans="14:15" x14ac:dyDescent="0.3">
      <c r="N398" s="3"/>
      <c r="O398" s="3"/>
    </row>
    <row r="399" spans="14:15" x14ac:dyDescent="0.3">
      <c r="N399" s="3"/>
      <c r="O399" s="3"/>
    </row>
    <row r="400" spans="14:15" x14ac:dyDescent="0.3">
      <c r="N400" s="3"/>
      <c r="O400" s="3"/>
    </row>
    <row r="401" spans="14:15" x14ac:dyDescent="0.3">
      <c r="N401" s="3"/>
      <c r="O401" s="3"/>
    </row>
    <row r="402" spans="14:15" x14ac:dyDescent="0.3">
      <c r="N402" s="3"/>
      <c r="O402" s="3"/>
    </row>
    <row r="403" spans="14:15" x14ac:dyDescent="0.3">
      <c r="N403" s="3"/>
      <c r="O403" s="3"/>
    </row>
    <row r="404" spans="14:15" x14ac:dyDescent="0.3">
      <c r="N404" s="3"/>
      <c r="O404" s="3"/>
    </row>
    <row r="405" spans="14:15" x14ac:dyDescent="0.3">
      <c r="N405" s="3"/>
      <c r="O405" s="3"/>
    </row>
    <row r="406" spans="14:15" x14ac:dyDescent="0.3">
      <c r="N406" s="3"/>
      <c r="O406" s="3"/>
    </row>
    <row r="407" spans="14:15" x14ac:dyDescent="0.3">
      <c r="N407" s="3"/>
      <c r="O407" s="3"/>
    </row>
    <row r="408" spans="14:15" x14ac:dyDescent="0.3">
      <c r="N408" s="3"/>
      <c r="O408" s="3"/>
    </row>
    <row r="409" spans="14:15" x14ac:dyDescent="0.3">
      <c r="N409" s="3"/>
      <c r="O409" s="3"/>
    </row>
    <row r="410" spans="14:15" x14ac:dyDescent="0.3">
      <c r="N410" s="3"/>
      <c r="O410" s="3"/>
    </row>
    <row r="411" spans="14:15" x14ac:dyDescent="0.3">
      <c r="N411" s="3"/>
      <c r="O411" s="3"/>
    </row>
    <row r="412" spans="14:15" x14ac:dyDescent="0.3">
      <c r="N412" s="3"/>
      <c r="O412" s="3"/>
    </row>
    <row r="413" spans="14:15" x14ac:dyDescent="0.3">
      <c r="N413" s="3"/>
      <c r="O413" s="3"/>
    </row>
    <row r="414" spans="14:15" x14ac:dyDescent="0.3">
      <c r="N414" s="3"/>
      <c r="O414" s="3"/>
    </row>
    <row r="415" spans="14:15" x14ac:dyDescent="0.3">
      <c r="N415" s="3"/>
      <c r="O415" s="3"/>
    </row>
    <row r="416" spans="14:15" x14ac:dyDescent="0.3">
      <c r="N416" s="3"/>
      <c r="O416" s="3"/>
    </row>
    <row r="417" spans="14:15" x14ac:dyDescent="0.3">
      <c r="N417" s="3"/>
      <c r="O417" s="3"/>
    </row>
    <row r="418" spans="14:15" x14ac:dyDescent="0.3">
      <c r="N418" s="3"/>
      <c r="O418" s="3"/>
    </row>
    <row r="419" spans="14:15" x14ac:dyDescent="0.3">
      <c r="N419" s="3"/>
      <c r="O419" s="3"/>
    </row>
    <row r="420" spans="14:15" x14ac:dyDescent="0.3">
      <c r="N420" s="3"/>
      <c r="O420" s="3"/>
    </row>
    <row r="421" spans="14:15" x14ac:dyDescent="0.3">
      <c r="N421" s="3"/>
      <c r="O421" s="3"/>
    </row>
    <row r="422" spans="14:15" x14ac:dyDescent="0.3">
      <c r="N422" s="3"/>
      <c r="O422" s="3"/>
    </row>
    <row r="423" spans="14:15" x14ac:dyDescent="0.3">
      <c r="N423" s="3"/>
      <c r="O423" s="3"/>
    </row>
    <row r="424" spans="14:15" x14ac:dyDescent="0.3">
      <c r="N424" s="3"/>
      <c r="O424" s="3"/>
    </row>
    <row r="425" spans="14:15" x14ac:dyDescent="0.3">
      <c r="N425" s="3"/>
      <c r="O425" s="3"/>
    </row>
    <row r="426" spans="14:15" x14ac:dyDescent="0.3">
      <c r="N426" s="3"/>
      <c r="O426" s="3"/>
    </row>
    <row r="427" spans="14:15" x14ac:dyDescent="0.3">
      <c r="N427" s="3"/>
      <c r="O427" s="3"/>
    </row>
    <row r="428" spans="14:15" x14ac:dyDescent="0.3">
      <c r="N428" s="3"/>
      <c r="O428" s="3"/>
    </row>
    <row r="429" spans="14:15" x14ac:dyDescent="0.3">
      <c r="N429" s="3"/>
      <c r="O429" s="3"/>
    </row>
    <row r="430" spans="14:15" x14ac:dyDescent="0.3">
      <c r="N430" s="3"/>
      <c r="O430" s="3"/>
    </row>
    <row r="431" spans="14:15" x14ac:dyDescent="0.3">
      <c r="N431" s="3"/>
      <c r="O431" s="3"/>
    </row>
    <row r="432" spans="14:15" x14ac:dyDescent="0.3">
      <c r="N432" s="3"/>
      <c r="O432" s="3"/>
    </row>
    <row r="433" spans="14:15" x14ac:dyDescent="0.3">
      <c r="N433" s="3"/>
      <c r="O433" s="3"/>
    </row>
    <row r="434" spans="14:15" x14ac:dyDescent="0.3">
      <c r="N434" s="3"/>
      <c r="O434" s="3"/>
    </row>
    <row r="435" spans="14:15" x14ac:dyDescent="0.3">
      <c r="N435" s="3"/>
      <c r="O435" s="3"/>
    </row>
    <row r="436" spans="14:15" x14ac:dyDescent="0.3">
      <c r="N436" s="3"/>
      <c r="O436" s="3"/>
    </row>
    <row r="437" spans="14:15" x14ac:dyDescent="0.3">
      <c r="N437" s="3"/>
      <c r="O437" s="3"/>
    </row>
    <row r="438" spans="14:15" x14ac:dyDescent="0.3">
      <c r="N438" s="3"/>
      <c r="O438" s="3"/>
    </row>
    <row r="439" spans="14:15" x14ac:dyDescent="0.3">
      <c r="N439" s="3"/>
      <c r="O439" s="3"/>
    </row>
    <row r="440" spans="14:15" x14ac:dyDescent="0.3">
      <c r="N440" s="3"/>
      <c r="O440" s="3"/>
    </row>
    <row r="441" spans="14:15" x14ac:dyDescent="0.3">
      <c r="N441" s="3"/>
      <c r="O441" s="3"/>
    </row>
    <row r="442" spans="14:15" x14ac:dyDescent="0.3">
      <c r="N442" s="3"/>
      <c r="O442" s="3"/>
    </row>
    <row r="443" spans="14:15" x14ac:dyDescent="0.3">
      <c r="N443" s="3"/>
      <c r="O443" s="3"/>
    </row>
    <row r="444" spans="14:15" x14ac:dyDescent="0.3">
      <c r="N444" s="3"/>
      <c r="O444" s="3"/>
    </row>
    <row r="445" spans="14:15" x14ac:dyDescent="0.3">
      <c r="N445" s="3"/>
      <c r="O445" s="3"/>
    </row>
    <row r="446" spans="14:15" x14ac:dyDescent="0.3">
      <c r="N446" s="3"/>
      <c r="O446" s="3"/>
    </row>
    <row r="447" spans="14:15" x14ac:dyDescent="0.3">
      <c r="N447" s="3"/>
      <c r="O447" s="3"/>
    </row>
    <row r="448" spans="14:15" x14ac:dyDescent="0.3">
      <c r="N448" s="3"/>
      <c r="O448" s="3"/>
    </row>
    <row r="449" spans="14:15" x14ac:dyDescent="0.3">
      <c r="N449" s="3"/>
      <c r="O449" s="3"/>
    </row>
    <row r="450" spans="14:15" x14ac:dyDescent="0.3">
      <c r="N450" s="3"/>
      <c r="O450" s="3"/>
    </row>
    <row r="451" spans="14:15" x14ac:dyDescent="0.3">
      <c r="N451" s="3"/>
      <c r="O451" s="3"/>
    </row>
    <row r="452" spans="14:15" x14ac:dyDescent="0.3">
      <c r="N452" s="3"/>
      <c r="O452" s="3"/>
    </row>
    <row r="453" spans="14:15" x14ac:dyDescent="0.3">
      <c r="N453" s="3"/>
      <c r="O453" s="3"/>
    </row>
    <row r="454" spans="14:15" x14ac:dyDescent="0.3">
      <c r="N454" s="3"/>
      <c r="O454" s="3"/>
    </row>
    <row r="455" spans="14:15" x14ac:dyDescent="0.3">
      <c r="N455" s="3"/>
      <c r="O455" s="3"/>
    </row>
    <row r="456" spans="14:15" x14ac:dyDescent="0.3">
      <c r="N456" s="3"/>
      <c r="O456" s="3"/>
    </row>
    <row r="457" spans="14:15" x14ac:dyDescent="0.3">
      <c r="N457" s="3"/>
      <c r="O457" s="3"/>
    </row>
    <row r="458" spans="14:15" x14ac:dyDescent="0.3">
      <c r="N458" s="3"/>
      <c r="O458" s="3"/>
    </row>
    <row r="459" spans="14:15" x14ac:dyDescent="0.3">
      <c r="N459" s="3"/>
      <c r="O459" s="3"/>
    </row>
    <row r="460" spans="14:15" x14ac:dyDescent="0.3">
      <c r="N460" s="3"/>
      <c r="O460" s="3"/>
    </row>
    <row r="461" spans="14:15" x14ac:dyDescent="0.3">
      <c r="N461" s="3"/>
      <c r="O461" s="3"/>
    </row>
    <row r="462" spans="14:15" x14ac:dyDescent="0.3">
      <c r="N462" s="3"/>
      <c r="O462" s="3"/>
    </row>
    <row r="463" spans="14:15" x14ac:dyDescent="0.3">
      <c r="N463" s="3"/>
      <c r="O463" s="3"/>
    </row>
    <row r="464" spans="14:15" x14ac:dyDescent="0.3">
      <c r="N464" s="3"/>
      <c r="O464" s="3"/>
    </row>
    <row r="465" spans="14:15" x14ac:dyDescent="0.3">
      <c r="N465" s="3"/>
      <c r="O465" s="3"/>
    </row>
    <row r="466" spans="14:15" x14ac:dyDescent="0.3">
      <c r="N466" s="3"/>
      <c r="O466" s="3"/>
    </row>
    <row r="467" spans="14:15" x14ac:dyDescent="0.3">
      <c r="N467" s="3"/>
      <c r="O467" s="3"/>
    </row>
    <row r="468" spans="14:15" x14ac:dyDescent="0.3">
      <c r="N468" s="3"/>
      <c r="O468" s="3"/>
    </row>
    <row r="469" spans="14:15" x14ac:dyDescent="0.3">
      <c r="N469" s="3"/>
      <c r="O469" s="3"/>
    </row>
    <row r="470" spans="14:15" x14ac:dyDescent="0.3">
      <c r="N470" s="3"/>
      <c r="O470" s="3"/>
    </row>
    <row r="471" spans="14:15" x14ac:dyDescent="0.3">
      <c r="N471" s="3"/>
      <c r="O471" s="3"/>
    </row>
    <row r="472" spans="14:15" x14ac:dyDescent="0.3">
      <c r="N472" s="3"/>
      <c r="O472" s="3"/>
    </row>
    <row r="473" spans="14:15" x14ac:dyDescent="0.3">
      <c r="N473" s="3"/>
      <c r="O473" s="3"/>
    </row>
    <row r="474" spans="14:15" x14ac:dyDescent="0.3">
      <c r="N474" s="3"/>
      <c r="O474" s="3"/>
    </row>
    <row r="475" spans="14:15" x14ac:dyDescent="0.3">
      <c r="N475" s="3"/>
      <c r="O475" s="3"/>
    </row>
    <row r="476" spans="14:15" x14ac:dyDescent="0.3">
      <c r="N476" s="3"/>
      <c r="O476" s="3"/>
    </row>
    <row r="477" spans="14:15" x14ac:dyDescent="0.3">
      <c r="N477" s="3"/>
      <c r="O477" s="3"/>
    </row>
    <row r="478" spans="14:15" x14ac:dyDescent="0.3">
      <c r="N478" s="3"/>
      <c r="O478" s="3"/>
    </row>
    <row r="479" spans="14:15" x14ac:dyDescent="0.3">
      <c r="N479" s="3"/>
      <c r="O479" s="3"/>
    </row>
    <row r="480" spans="14:15" x14ac:dyDescent="0.3">
      <c r="N480" s="3"/>
      <c r="O480" s="3"/>
    </row>
    <row r="481" spans="14:15" x14ac:dyDescent="0.3">
      <c r="N481" s="3"/>
      <c r="O481" s="3"/>
    </row>
    <row r="482" spans="14:15" x14ac:dyDescent="0.3">
      <c r="N482" s="3"/>
      <c r="O482" s="3"/>
    </row>
    <row r="483" spans="14:15" x14ac:dyDescent="0.3">
      <c r="N483" s="3"/>
      <c r="O483" s="3"/>
    </row>
    <row r="484" spans="14:15" x14ac:dyDescent="0.3">
      <c r="N484" s="3"/>
      <c r="O484" s="3"/>
    </row>
    <row r="485" spans="14:15" x14ac:dyDescent="0.3">
      <c r="N485" s="3"/>
      <c r="O485" s="3"/>
    </row>
    <row r="486" spans="14:15" x14ac:dyDescent="0.3">
      <c r="N486" s="3"/>
      <c r="O486" s="3"/>
    </row>
    <row r="487" spans="14:15" x14ac:dyDescent="0.3">
      <c r="N487" s="3"/>
      <c r="O487" s="3"/>
    </row>
    <row r="488" spans="14:15" x14ac:dyDescent="0.3">
      <c r="N488" s="3"/>
      <c r="O488" s="3"/>
    </row>
    <row r="489" spans="14:15" x14ac:dyDescent="0.3">
      <c r="N489" s="3"/>
      <c r="O489" s="3"/>
    </row>
    <row r="490" spans="14:15" x14ac:dyDescent="0.3">
      <c r="N490" s="3"/>
      <c r="O490" s="3"/>
    </row>
    <row r="491" spans="14:15" x14ac:dyDescent="0.3">
      <c r="N491" s="3"/>
      <c r="O491" s="3"/>
    </row>
    <row r="492" spans="14:15" x14ac:dyDescent="0.3">
      <c r="N492" s="3"/>
      <c r="O492" s="3"/>
    </row>
    <row r="493" spans="14:15" x14ac:dyDescent="0.3">
      <c r="N493" s="3"/>
      <c r="O493" s="3"/>
    </row>
    <row r="494" spans="14:15" x14ac:dyDescent="0.3">
      <c r="N494" s="3"/>
      <c r="O494" s="3"/>
    </row>
    <row r="495" spans="14:15" x14ac:dyDescent="0.3">
      <c r="N495" s="3"/>
      <c r="O495" s="3"/>
    </row>
    <row r="496" spans="14:15" x14ac:dyDescent="0.3">
      <c r="N496" s="3"/>
      <c r="O496" s="3"/>
    </row>
    <row r="497" spans="14:15" x14ac:dyDescent="0.3">
      <c r="N497" s="3"/>
      <c r="O497" s="3"/>
    </row>
    <row r="498" spans="14:15" x14ac:dyDescent="0.3">
      <c r="N498" s="3"/>
      <c r="O498" s="3"/>
    </row>
    <row r="499" spans="14:15" x14ac:dyDescent="0.3">
      <c r="N499" s="3"/>
      <c r="O499" s="3"/>
    </row>
    <row r="500" spans="14:15" x14ac:dyDescent="0.3">
      <c r="N500" s="3"/>
      <c r="O500" s="3"/>
    </row>
    <row r="501" spans="14:15" x14ac:dyDescent="0.3">
      <c r="N501" s="3"/>
      <c r="O501" s="3"/>
    </row>
    <row r="502" spans="14:15" x14ac:dyDescent="0.3">
      <c r="N502" s="3"/>
      <c r="O502" s="3"/>
    </row>
    <row r="503" spans="14:15" x14ac:dyDescent="0.3">
      <c r="N503" s="3"/>
      <c r="O503" s="3"/>
    </row>
    <row r="504" spans="14:15" x14ac:dyDescent="0.3">
      <c r="N504" s="3"/>
      <c r="O504" s="3"/>
    </row>
    <row r="505" spans="14:15" x14ac:dyDescent="0.3">
      <c r="N505" s="3"/>
      <c r="O505" s="3"/>
    </row>
    <row r="506" spans="14:15" x14ac:dyDescent="0.3">
      <c r="N506" s="3"/>
      <c r="O506" s="3"/>
    </row>
    <row r="507" spans="14:15" x14ac:dyDescent="0.3">
      <c r="N507" s="3"/>
      <c r="O507" s="3"/>
    </row>
    <row r="508" spans="14:15" x14ac:dyDescent="0.3">
      <c r="N508" s="3"/>
      <c r="O508" s="3"/>
    </row>
    <row r="509" spans="14:15" x14ac:dyDescent="0.3">
      <c r="N509" s="3"/>
      <c r="O509" s="3"/>
    </row>
    <row r="510" spans="14:15" x14ac:dyDescent="0.3">
      <c r="N510" s="3"/>
      <c r="O510" s="3"/>
    </row>
    <row r="511" spans="14:15" x14ac:dyDescent="0.3">
      <c r="N511" s="3"/>
      <c r="O511" s="3"/>
    </row>
    <row r="512" spans="14:15" x14ac:dyDescent="0.3">
      <c r="N512" s="3"/>
      <c r="O512" s="3"/>
    </row>
    <row r="513" spans="14:15" x14ac:dyDescent="0.3">
      <c r="N513" s="3"/>
      <c r="O513" s="3"/>
    </row>
    <row r="514" spans="14:15" x14ac:dyDescent="0.3">
      <c r="N514" s="3"/>
      <c r="O514" s="3"/>
    </row>
    <row r="515" spans="14:15" x14ac:dyDescent="0.3">
      <c r="N515" s="3"/>
      <c r="O515" s="3"/>
    </row>
    <row r="516" spans="14:15" x14ac:dyDescent="0.3">
      <c r="N516" s="3"/>
      <c r="O516" s="3"/>
    </row>
    <row r="517" spans="14:15" x14ac:dyDescent="0.3">
      <c r="N517" s="3"/>
      <c r="O517" s="3"/>
    </row>
    <row r="518" spans="14:15" x14ac:dyDescent="0.3">
      <c r="N518" s="3"/>
      <c r="O518" s="3"/>
    </row>
    <row r="519" spans="14:15" x14ac:dyDescent="0.3">
      <c r="N519" s="3"/>
      <c r="O519" s="3"/>
    </row>
    <row r="520" spans="14:15" x14ac:dyDescent="0.3">
      <c r="N520" s="3"/>
      <c r="O520" s="3"/>
    </row>
    <row r="521" spans="14:15" x14ac:dyDescent="0.3">
      <c r="N521" s="3"/>
      <c r="O521" s="3"/>
    </row>
    <row r="522" spans="14:15" x14ac:dyDescent="0.3">
      <c r="N522" s="3"/>
      <c r="O522" s="3"/>
    </row>
    <row r="523" spans="14:15" x14ac:dyDescent="0.3">
      <c r="N523" s="3"/>
      <c r="O523" s="3"/>
    </row>
    <row r="524" spans="14:15" x14ac:dyDescent="0.3">
      <c r="N524" s="3"/>
      <c r="O524" s="3"/>
    </row>
    <row r="525" spans="14:15" x14ac:dyDescent="0.3">
      <c r="N525" s="3"/>
      <c r="O525" s="3"/>
    </row>
    <row r="526" spans="14:15" x14ac:dyDescent="0.3">
      <c r="N526" s="3"/>
      <c r="O526" s="3"/>
    </row>
    <row r="527" spans="14:15" x14ac:dyDescent="0.3">
      <c r="N527" s="3"/>
      <c r="O527" s="3"/>
    </row>
    <row r="528" spans="14:15" x14ac:dyDescent="0.3">
      <c r="N528" s="3"/>
      <c r="O528" s="3"/>
    </row>
    <row r="529" spans="14:15" x14ac:dyDescent="0.3">
      <c r="N529" s="3"/>
      <c r="O529" s="3"/>
    </row>
    <row r="530" spans="14:15" x14ac:dyDescent="0.3">
      <c r="N530" s="3"/>
      <c r="O530" s="3"/>
    </row>
    <row r="531" spans="14:15" x14ac:dyDescent="0.3">
      <c r="N531" s="3"/>
      <c r="O531" s="3"/>
    </row>
    <row r="532" spans="14:15" x14ac:dyDescent="0.3">
      <c r="N532" s="3"/>
      <c r="O532" s="3"/>
    </row>
    <row r="533" spans="14:15" x14ac:dyDescent="0.3">
      <c r="N533" s="3"/>
      <c r="O533" s="3"/>
    </row>
    <row r="534" spans="14:15" x14ac:dyDescent="0.3">
      <c r="N534" s="3"/>
      <c r="O534" s="3"/>
    </row>
    <row r="535" spans="14:15" x14ac:dyDescent="0.3">
      <c r="N535" s="3"/>
      <c r="O535" s="3"/>
    </row>
    <row r="536" spans="14:15" x14ac:dyDescent="0.3">
      <c r="N536" s="3"/>
      <c r="O536" s="3"/>
    </row>
    <row r="537" spans="14:15" x14ac:dyDescent="0.3">
      <c r="N537" s="3"/>
      <c r="O537" s="3"/>
    </row>
    <row r="538" spans="14:15" x14ac:dyDescent="0.3">
      <c r="N538" s="3"/>
      <c r="O538" s="3"/>
    </row>
    <row r="539" spans="14:15" x14ac:dyDescent="0.3">
      <c r="N539" s="3"/>
      <c r="O539" s="3"/>
    </row>
    <row r="540" spans="14:15" x14ac:dyDescent="0.3">
      <c r="N540" s="3"/>
      <c r="O540" s="3"/>
    </row>
    <row r="541" spans="14:15" x14ac:dyDescent="0.3">
      <c r="N541" s="3"/>
      <c r="O541" s="3"/>
    </row>
    <row r="542" spans="14:15" x14ac:dyDescent="0.3">
      <c r="N542" s="3"/>
      <c r="O542" s="3"/>
    </row>
    <row r="543" spans="14:15" x14ac:dyDescent="0.3">
      <c r="N543" s="3"/>
      <c r="O543" s="3"/>
    </row>
    <row r="544" spans="14:15" x14ac:dyDescent="0.3">
      <c r="N544" s="3"/>
      <c r="O544" s="3"/>
    </row>
    <row r="545" spans="14:15" x14ac:dyDescent="0.3">
      <c r="N545" s="3"/>
      <c r="O545" s="3"/>
    </row>
    <row r="546" spans="14:15" x14ac:dyDescent="0.3">
      <c r="N546" s="3"/>
      <c r="O546" s="3"/>
    </row>
    <row r="547" spans="14:15" x14ac:dyDescent="0.3">
      <c r="N547" s="3"/>
      <c r="O547" s="3"/>
    </row>
    <row r="548" spans="14:15" x14ac:dyDescent="0.3">
      <c r="N548" s="3"/>
      <c r="O548" s="3"/>
    </row>
    <row r="549" spans="14:15" x14ac:dyDescent="0.3">
      <c r="N549" s="3"/>
      <c r="O549" s="3"/>
    </row>
    <row r="550" spans="14:15" x14ac:dyDescent="0.3">
      <c r="N550" s="3"/>
      <c r="O550" s="3"/>
    </row>
    <row r="551" spans="14:15" x14ac:dyDescent="0.3">
      <c r="N551" s="3"/>
      <c r="O551" s="3"/>
    </row>
    <row r="552" spans="14:15" x14ac:dyDescent="0.3">
      <c r="N552" s="3"/>
      <c r="O552" s="3"/>
    </row>
    <row r="553" spans="14:15" x14ac:dyDescent="0.3">
      <c r="N553" s="3"/>
      <c r="O553" s="3"/>
    </row>
    <row r="554" spans="14:15" x14ac:dyDescent="0.3">
      <c r="N554" s="3"/>
      <c r="O554" s="3"/>
    </row>
    <row r="555" spans="14:15" x14ac:dyDescent="0.3">
      <c r="N555" s="3"/>
      <c r="O555" s="3"/>
    </row>
    <row r="556" spans="14:15" x14ac:dyDescent="0.3">
      <c r="N556" s="3"/>
      <c r="O556" s="3"/>
    </row>
    <row r="557" spans="14:15" x14ac:dyDescent="0.3">
      <c r="N557" s="3"/>
      <c r="O557" s="3"/>
    </row>
    <row r="558" spans="14:15" x14ac:dyDescent="0.3">
      <c r="N558" s="3"/>
      <c r="O558" s="3"/>
    </row>
    <row r="559" spans="14:15" x14ac:dyDescent="0.3">
      <c r="N559" s="3"/>
      <c r="O559" s="3"/>
    </row>
    <row r="560" spans="14:15" x14ac:dyDescent="0.3">
      <c r="N560" s="3"/>
      <c r="O560" s="3"/>
    </row>
    <row r="561" spans="14:15" x14ac:dyDescent="0.3">
      <c r="N561" s="3"/>
      <c r="O561" s="3"/>
    </row>
    <row r="562" spans="14:15" x14ac:dyDescent="0.3">
      <c r="N562" s="3"/>
      <c r="O562" s="3"/>
    </row>
    <row r="563" spans="14:15" x14ac:dyDescent="0.3">
      <c r="N563" s="3"/>
      <c r="O563" s="3"/>
    </row>
    <row r="564" spans="14:15" x14ac:dyDescent="0.3">
      <c r="N564" s="3"/>
      <c r="O564" s="3"/>
    </row>
    <row r="565" spans="14:15" x14ac:dyDescent="0.3">
      <c r="N565" s="3"/>
      <c r="O565" s="3"/>
    </row>
    <row r="566" spans="14:15" x14ac:dyDescent="0.3">
      <c r="N566" s="3"/>
      <c r="O566" s="3"/>
    </row>
    <row r="567" spans="14:15" x14ac:dyDescent="0.3">
      <c r="N567" s="3"/>
      <c r="O567" s="3"/>
    </row>
    <row r="568" spans="14:15" x14ac:dyDescent="0.3">
      <c r="N568" s="3"/>
      <c r="O568" s="3"/>
    </row>
    <row r="569" spans="14:15" x14ac:dyDescent="0.3">
      <c r="N569" s="3"/>
      <c r="O569" s="3"/>
    </row>
    <row r="570" spans="14:15" x14ac:dyDescent="0.3">
      <c r="N570" s="3"/>
      <c r="O570" s="3"/>
    </row>
    <row r="571" spans="14:15" x14ac:dyDescent="0.3">
      <c r="N571" s="3"/>
      <c r="O571" s="3"/>
    </row>
    <row r="572" spans="14:15" x14ac:dyDescent="0.3">
      <c r="N572" s="3"/>
      <c r="O572" s="3"/>
    </row>
    <row r="573" spans="14:15" x14ac:dyDescent="0.3">
      <c r="N573" s="3"/>
      <c r="O573" s="3"/>
    </row>
    <row r="574" spans="14:15" x14ac:dyDescent="0.3">
      <c r="N574" s="3"/>
      <c r="O574" s="3"/>
    </row>
    <row r="575" spans="14:15" x14ac:dyDescent="0.3">
      <c r="N575" s="3"/>
      <c r="O575" s="3"/>
    </row>
    <row r="576" spans="14:15" x14ac:dyDescent="0.3">
      <c r="N576" s="3"/>
      <c r="O576" s="3"/>
    </row>
    <row r="577" spans="14:15" x14ac:dyDescent="0.3">
      <c r="N577" s="3"/>
      <c r="O577" s="3"/>
    </row>
    <row r="578" spans="14:15" x14ac:dyDescent="0.3">
      <c r="N578" s="3"/>
      <c r="O578" s="3"/>
    </row>
    <row r="579" spans="14:15" x14ac:dyDescent="0.3">
      <c r="N579" s="3"/>
      <c r="O579" s="3"/>
    </row>
    <row r="580" spans="14:15" x14ac:dyDescent="0.3">
      <c r="N580" s="3"/>
      <c r="O580" s="3"/>
    </row>
    <row r="581" spans="14:15" x14ac:dyDescent="0.3">
      <c r="N581" s="3"/>
      <c r="O581" s="3"/>
    </row>
    <row r="582" spans="14:15" x14ac:dyDescent="0.3">
      <c r="N582" s="3"/>
      <c r="O582" s="3"/>
    </row>
    <row r="583" spans="14:15" x14ac:dyDescent="0.3">
      <c r="N583" s="3"/>
      <c r="O583" s="3"/>
    </row>
    <row r="584" spans="14:15" x14ac:dyDescent="0.3">
      <c r="N584" s="3"/>
      <c r="O584" s="3"/>
    </row>
    <row r="585" spans="14:15" x14ac:dyDescent="0.3">
      <c r="N585" s="3"/>
      <c r="O585" s="3"/>
    </row>
    <row r="586" spans="14:15" x14ac:dyDescent="0.3">
      <c r="N586" s="3"/>
      <c r="O586" s="3"/>
    </row>
    <row r="587" spans="14:15" x14ac:dyDescent="0.3">
      <c r="N587" s="3"/>
      <c r="O587" s="3"/>
    </row>
    <row r="588" spans="14:15" x14ac:dyDescent="0.3">
      <c r="N588" s="3"/>
      <c r="O588" s="3"/>
    </row>
    <row r="589" spans="14:15" x14ac:dyDescent="0.3">
      <c r="N589" s="3"/>
      <c r="O589" s="3"/>
    </row>
    <row r="590" spans="14:15" x14ac:dyDescent="0.3">
      <c r="N590" s="3"/>
      <c r="O590" s="3"/>
    </row>
    <row r="591" spans="14:15" x14ac:dyDescent="0.3">
      <c r="N591" s="3"/>
      <c r="O591" s="3"/>
    </row>
    <row r="592" spans="14:15" x14ac:dyDescent="0.3">
      <c r="N592" s="3"/>
      <c r="O592" s="3"/>
    </row>
    <row r="593" spans="14:15" x14ac:dyDescent="0.3">
      <c r="N593" s="3"/>
      <c r="O593" s="3"/>
    </row>
    <row r="594" spans="14:15" x14ac:dyDescent="0.3">
      <c r="N594" s="3"/>
      <c r="O594" s="3"/>
    </row>
    <row r="595" spans="14:15" x14ac:dyDescent="0.3">
      <c r="N595" s="3"/>
      <c r="O595" s="3"/>
    </row>
    <row r="596" spans="14:15" x14ac:dyDescent="0.3">
      <c r="N596" s="3"/>
      <c r="O596" s="3"/>
    </row>
    <row r="597" spans="14:15" x14ac:dyDescent="0.3">
      <c r="N597" s="3"/>
      <c r="O597" s="3"/>
    </row>
    <row r="598" spans="14:15" x14ac:dyDescent="0.3">
      <c r="N598" s="3"/>
      <c r="O598" s="3"/>
    </row>
    <row r="599" spans="14:15" x14ac:dyDescent="0.3">
      <c r="N599" s="3"/>
      <c r="O599" s="3"/>
    </row>
    <row r="600" spans="14:15" x14ac:dyDescent="0.3">
      <c r="N600" s="3"/>
      <c r="O600" s="3"/>
    </row>
    <row r="601" spans="14:15" x14ac:dyDescent="0.3">
      <c r="N601" s="3"/>
      <c r="O601" s="3"/>
    </row>
    <row r="602" spans="14:15" x14ac:dyDescent="0.3">
      <c r="N602" s="3"/>
      <c r="O602" s="3"/>
    </row>
    <row r="603" spans="14:15" x14ac:dyDescent="0.3">
      <c r="N603" s="3"/>
      <c r="O603" s="3"/>
    </row>
    <row r="604" spans="14:15" x14ac:dyDescent="0.3">
      <c r="N604" s="3"/>
      <c r="O604" s="3"/>
    </row>
    <row r="605" spans="14:15" x14ac:dyDescent="0.3">
      <c r="N605" s="3"/>
      <c r="O605" s="3"/>
    </row>
    <row r="606" spans="14:15" x14ac:dyDescent="0.3">
      <c r="N606" s="3"/>
      <c r="O606" s="3"/>
    </row>
    <row r="607" spans="14:15" x14ac:dyDescent="0.3">
      <c r="N607" s="3"/>
      <c r="O607" s="3"/>
    </row>
    <row r="608" spans="14:15" x14ac:dyDescent="0.3">
      <c r="N608" s="3"/>
      <c r="O608" s="3"/>
    </row>
    <row r="609" spans="14:15" x14ac:dyDescent="0.3">
      <c r="N609" s="3"/>
      <c r="O609" s="3"/>
    </row>
    <row r="610" spans="14:15" x14ac:dyDescent="0.3">
      <c r="N610" s="3"/>
      <c r="O610" s="3"/>
    </row>
    <row r="611" spans="14:15" x14ac:dyDescent="0.3">
      <c r="N611" s="3"/>
      <c r="O611" s="3"/>
    </row>
    <row r="612" spans="14:15" x14ac:dyDescent="0.3">
      <c r="N612" s="3"/>
      <c r="O612" s="3"/>
    </row>
    <row r="613" spans="14:15" x14ac:dyDescent="0.3">
      <c r="N613" s="3"/>
      <c r="O613" s="3"/>
    </row>
    <row r="614" spans="14:15" x14ac:dyDescent="0.3">
      <c r="N614" s="3"/>
      <c r="O614" s="3"/>
    </row>
    <row r="615" spans="14:15" x14ac:dyDescent="0.3">
      <c r="N615" s="3"/>
      <c r="O615" s="3"/>
    </row>
    <row r="616" spans="14:15" x14ac:dyDescent="0.3">
      <c r="N616" s="3"/>
      <c r="O616" s="3"/>
    </row>
    <row r="617" spans="14:15" x14ac:dyDescent="0.3">
      <c r="N617" s="3"/>
      <c r="O617" s="3"/>
    </row>
    <row r="618" spans="14:15" x14ac:dyDescent="0.3">
      <c r="N618" s="3"/>
      <c r="O618" s="3"/>
    </row>
    <row r="619" spans="14:15" x14ac:dyDescent="0.3">
      <c r="N619" s="3"/>
      <c r="O619" s="3"/>
    </row>
    <row r="620" spans="14:15" x14ac:dyDescent="0.3">
      <c r="N620" s="3"/>
      <c r="O620" s="3"/>
    </row>
    <row r="621" spans="14:15" x14ac:dyDescent="0.3">
      <c r="N621" s="3"/>
      <c r="O621" s="3"/>
    </row>
    <row r="622" spans="14:15" x14ac:dyDescent="0.3">
      <c r="N622" s="3"/>
      <c r="O622" s="3"/>
    </row>
    <row r="623" spans="14:15" x14ac:dyDescent="0.3">
      <c r="N623" s="3"/>
      <c r="O623" s="3"/>
    </row>
    <row r="624" spans="14:15" x14ac:dyDescent="0.3">
      <c r="N624" s="3"/>
      <c r="O624" s="3"/>
    </row>
    <row r="625" spans="14:15" x14ac:dyDescent="0.3">
      <c r="N625" s="3"/>
      <c r="O625" s="3"/>
    </row>
    <row r="626" spans="14:15" x14ac:dyDescent="0.3">
      <c r="N626" s="3"/>
      <c r="O626" s="3"/>
    </row>
    <row r="627" spans="14:15" x14ac:dyDescent="0.3">
      <c r="N627" s="3"/>
      <c r="O627" s="3"/>
    </row>
    <row r="628" spans="14:15" x14ac:dyDescent="0.3">
      <c r="N628" s="3"/>
      <c r="O628" s="3"/>
    </row>
    <row r="629" spans="14:15" x14ac:dyDescent="0.3">
      <c r="N629" s="3"/>
      <c r="O629" s="3"/>
    </row>
    <row r="630" spans="14:15" x14ac:dyDescent="0.3">
      <c r="N630" s="3"/>
      <c r="O630" s="3"/>
    </row>
    <row r="631" spans="14:15" x14ac:dyDescent="0.3">
      <c r="N631" s="3"/>
      <c r="O631" s="3"/>
    </row>
    <row r="632" spans="14:15" x14ac:dyDescent="0.3">
      <c r="N632" s="3"/>
      <c r="O632" s="3"/>
    </row>
    <row r="633" spans="14:15" x14ac:dyDescent="0.3">
      <c r="N633" s="3"/>
      <c r="O633" s="3"/>
    </row>
    <row r="634" spans="14:15" x14ac:dyDescent="0.3">
      <c r="N634" s="3"/>
      <c r="O634" s="3"/>
    </row>
    <row r="635" spans="14:15" x14ac:dyDescent="0.3">
      <c r="N635" s="3"/>
      <c r="O635" s="3"/>
    </row>
    <row r="636" spans="14:15" x14ac:dyDescent="0.3">
      <c r="N636" s="3"/>
      <c r="O636" s="3"/>
    </row>
    <row r="637" spans="14:15" x14ac:dyDescent="0.3">
      <c r="N637" s="3"/>
      <c r="O637" s="3"/>
    </row>
    <row r="638" spans="14:15" x14ac:dyDescent="0.3">
      <c r="N638" s="3"/>
      <c r="O638" s="3"/>
    </row>
    <row r="639" spans="14:15" x14ac:dyDescent="0.3">
      <c r="N639" s="3"/>
      <c r="O639" s="3"/>
    </row>
    <row r="640" spans="14:15" x14ac:dyDescent="0.3">
      <c r="N640" s="3"/>
      <c r="O640" s="3"/>
    </row>
    <row r="641" spans="14:15" x14ac:dyDescent="0.3">
      <c r="N641" s="3"/>
      <c r="O641" s="3"/>
    </row>
    <row r="642" spans="14:15" x14ac:dyDescent="0.3">
      <c r="N642" s="3"/>
      <c r="O642" s="3"/>
    </row>
    <row r="643" spans="14:15" x14ac:dyDescent="0.3">
      <c r="N643" s="3"/>
      <c r="O643" s="3"/>
    </row>
    <row r="644" spans="14:15" x14ac:dyDescent="0.3">
      <c r="N644" s="3"/>
      <c r="O644" s="3"/>
    </row>
    <row r="645" spans="14:15" x14ac:dyDescent="0.3">
      <c r="N645" s="3"/>
      <c r="O645" s="3"/>
    </row>
    <row r="646" spans="14:15" x14ac:dyDescent="0.3">
      <c r="N646" s="3"/>
      <c r="O646" s="3"/>
    </row>
    <row r="647" spans="14:15" x14ac:dyDescent="0.3">
      <c r="N647" s="3"/>
      <c r="O647" s="3"/>
    </row>
    <row r="648" spans="14:15" x14ac:dyDescent="0.3">
      <c r="N648" s="3"/>
      <c r="O648" s="3"/>
    </row>
    <row r="649" spans="14:15" x14ac:dyDescent="0.3">
      <c r="N649" s="3"/>
      <c r="O649" s="3"/>
    </row>
    <row r="650" spans="14:15" x14ac:dyDescent="0.3">
      <c r="N650" s="3"/>
      <c r="O650" s="3"/>
    </row>
    <row r="651" spans="14:15" x14ac:dyDescent="0.3">
      <c r="N651" s="3"/>
      <c r="O651" s="3"/>
    </row>
    <row r="652" spans="14:15" x14ac:dyDescent="0.3">
      <c r="N652" s="3"/>
      <c r="O652" s="3"/>
    </row>
    <row r="653" spans="14:15" x14ac:dyDescent="0.3">
      <c r="N653" s="3"/>
      <c r="O653" s="3"/>
    </row>
    <row r="654" spans="14:15" x14ac:dyDescent="0.3">
      <c r="N654" s="3"/>
      <c r="O654" s="3"/>
    </row>
    <row r="655" spans="14:15" x14ac:dyDescent="0.3">
      <c r="N655" s="3"/>
      <c r="O655" s="3"/>
    </row>
    <row r="656" spans="14:15" x14ac:dyDescent="0.3">
      <c r="N656" s="3"/>
      <c r="O656" s="3"/>
    </row>
    <row r="657" spans="14:15" x14ac:dyDescent="0.3">
      <c r="N657" s="3"/>
      <c r="O657" s="3"/>
    </row>
    <row r="658" spans="14:15" x14ac:dyDescent="0.3">
      <c r="N658" s="3"/>
      <c r="O658" s="3"/>
    </row>
    <row r="659" spans="14:15" x14ac:dyDescent="0.3">
      <c r="N659" s="3"/>
      <c r="O659" s="3"/>
    </row>
    <row r="660" spans="14:15" x14ac:dyDescent="0.3">
      <c r="N660" s="3"/>
      <c r="O660" s="3"/>
    </row>
    <row r="661" spans="14:15" x14ac:dyDescent="0.3">
      <c r="N661" s="3"/>
      <c r="O661" s="3"/>
    </row>
    <row r="662" spans="14:15" x14ac:dyDescent="0.3">
      <c r="N662" s="3"/>
      <c r="O662" s="3"/>
    </row>
    <row r="663" spans="14:15" x14ac:dyDescent="0.3">
      <c r="N663" s="3"/>
      <c r="O663" s="3"/>
    </row>
    <row r="664" spans="14:15" x14ac:dyDescent="0.3">
      <c r="N664" s="3"/>
      <c r="O664" s="3"/>
    </row>
    <row r="665" spans="14:15" x14ac:dyDescent="0.3">
      <c r="N665" s="3"/>
      <c r="O665" s="3"/>
    </row>
    <row r="666" spans="14:15" x14ac:dyDescent="0.3">
      <c r="N666" s="3"/>
      <c r="O666" s="3"/>
    </row>
    <row r="667" spans="14:15" x14ac:dyDescent="0.3">
      <c r="N667" s="3"/>
      <c r="O667" s="3"/>
    </row>
    <row r="668" spans="14:15" x14ac:dyDescent="0.3">
      <c r="N668" s="3"/>
      <c r="O668" s="3"/>
    </row>
    <row r="669" spans="14:15" x14ac:dyDescent="0.3">
      <c r="N669" s="3"/>
      <c r="O669" s="3"/>
    </row>
    <row r="670" spans="14:15" x14ac:dyDescent="0.3">
      <c r="N670" s="3"/>
      <c r="O670" s="3"/>
    </row>
    <row r="671" spans="14:15" x14ac:dyDescent="0.3">
      <c r="N671" s="3"/>
      <c r="O671" s="3"/>
    </row>
    <row r="672" spans="14:15" x14ac:dyDescent="0.3">
      <c r="N672" s="3"/>
      <c r="O672" s="3"/>
    </row>
    <row r="673" spans="14:15" x14ac:dyDescent="0.3">
      <c r="N673" s="3"/>
      <c r="O673" s="3"/>
    </row>
    <row r="674" spans="14:15" x14ac:dyDescent="0.3">
      <c r="N674" s="3"/>
      <c r="O674" s="3"/>
    </row>
    <row r="675" spans="14:15" x14ac:dyDescent="0.3">
      <c r="N675" s="3"/>
      <c r="O675" s="3"/>
    </row>
    <row r="676" spans="14:15" x14ac:dyDescent="0.3">
      <c r="N676" s="3"/>
      <c r="O676" s="3"/>
    </row>
    <row r="677" spans="14:15" x14ac:dyDescent="0.3">
      <c r="N677" s="3"/>
      <c r="O677" s="3"/>
    </row>
    <row r="678" spans="14:15" x14ac:dyDescent="0.3">
      <c r="N678" s="3"/>
      <c r="O678" s="3"/>
    </row>
    <row r="679" spans="14:15" x14ac:dyDescent="0.3">
      <c r="N679" s="3"/>
      <c r="O679" s="3"/>
    </row>
    <row r="680" spans="14:15" x14ac:dyDescent="0.3">
      <c r="N680" s="3"/>
      <c r="O680" s="3"/>
    </row>
    <row r="681" spans="14:15" x14ac:dyDescent="0.3">
      <c r="N681" s="3"/>
      <c r="O681" s="3"/>
    </row>
    <row r="682" spans="14:15" x14ac:dyDescent="0.3">
      <c r="N682" s="3"/>
      <c r="O682" s="3"/>
    </row>
    <row r="683" spans="14:15" x14ac:dyDescent="0.3">
      <c r="N683" s="3"/>
      <c r="O683" s="3"/>
    </row>
    <row r="684" spans="14:15" x14ac:dyDescent="0.3">
      <c r="N684" s="3"/>
      <c r="O684" s="3"/>
    </row>
    <row r="685" spans="14:15" x14ac:dyDescent="0.3">
      <c r="N685" s="3"/>
      <c r="O685" s="3"/>
    </row>
    <row r="686" spans="14:15" x14ac:dyDescent="0.3">
      <c r="N686" s="3"/>
      <c r="O686" s="3"/>
    </row>
    <row r="687" spans="14:15" x14ac:dyDescent="0.3">
      <c r="N687" s="3"/>
      <c r="O687" s="3"/>
    </row>
    <row r="688" spans="14:15" x14ac:dyDescent="0.3">
      <c r="N688" s="3"/>
      <c r="O688" s="3"/>
    </row>
    <row r="689" spans="14:15" x14ac:dyDescent="0.3">
      <c r="N689" s="3"/>
      <c r="O689" s="3"/>
    </row>
    <row r="690" spans="14:15" x14ac:dyDescent="0.3">
      <c r="N690" s="3"/>
      <c r="O690" s="3"/>
    </row>
    <row r="691" spans="14:15" x14ac:dyDescent="0.3">
      <c r="N691" s="3"/>
      <c r="O691" s="3"/>
    </row>
    <row r="692" spans="14:15" x14ac:dyDescent="0.3">
      <c r="N692" s="3"/>
      <c r="O692" s="3"/>
    </row>
    <row r="693" spans="14:15" x14ac:dyDescent="0.3">
      <c r="N693" s="3"/>
      <c r="O693" s="3"/>
    </row>
    <row r="694" spans="14:15" x14ac:dyDescent="0.3">
      <c r="N694" s="3"/>
      <c r="O694" s="3"/>
    </row>
    <row r="695" spans="14:15" x14ac:dyDescent="0.3">
      <c r="N695" s="3"/>
      <c r="O695" s="3"/>
    </row>
    <row r="696" spans="14:15" x14ac:dyDescent="0.3">
      <c r="N696" s="3"/>
      <c r="O696" s="3"/>
    </row>
    <row r="697" spans="14:15" x14ac:dyDescent="0.3">
      <c r="N697" s="3"/>
      <c r="O697" s="3"/>
    </row>
    <row r="698" spans="14:15" x14ac:dyDescent="0.3">
      <c r="N698" s="3"/>
      <c r="O698" s="3"/>
    </row>
    <row r="699" spans="14:15" x14ac:dyDescent="0.3">
      <c r="N699" s="3"/>
      <c r="O699" s="3"/>
    </row>
    <row r="700" spans="14:15" x14ac:dyDescent="0.3">
      <c r="N700" s="3"/>
      <c r="O700" s="3"/>
    </row>
    <row r="701" spans="14:15" x14ac:dyDescent="0.3">
      <c r="N701" s="3"/>
      <c r="O701" s="3"/>
    </row>
    <row r="702" spans="14:15" x14ac:dyDescent="0.3">
      <c r="N702" s="3"/>
      <c r="O702" s="3"/>
    </row>
    <row r="703" spans="14:15" x14ac:dyDescent="0.3">
      <c r="N703" s="3"/>
      <c r="O703" s="3"/>
    </row>
    <row r="704" spans="14:15" x14ac:dyDescent="0.3">
      <c r="N704" s="3"/>
      <c r="O704" s="3"/>
    </row>
    <row r="705" spans="14:15" x14ac:dyDescent="0.3">
      <c r="N705" s="3"/>
      <c r="O705" s="3"/>
    </row>
    <row r="706" spans="14:15" x14ac:dyDescent="0.3">
      <c r="N706" s="3"/>
      <c r="O706" s="3"/>
    </row>
    <row r="707" spans="14:15" x14ac:dyDescent="0.3">
      <c r="N707" s="3"/>
      <c r="O707" s="3"/>
    </row>
    <row r="708" spans="14:15" x14ac:dyDescent="0.3">
      <c r="N708" s="3"/>
      <c r="O708" s="3"/>
    </row>
    <row r="709" spans="14:15" x14ac:dyDescent="0.3">
      <c r="N709" s="3"/>
      <c r="O709" s="3"/>
    </row>
    <row r="710" spans="14:15" x14ac:dyDescent="0.3">
      <c r="N710" s="3"/>
      <c r="O710" s="3"/>
    </row>
    <row r="711" spans="14:15" x14ac:dyDescent="0.3">
      <c r="N711" s="3"/>
      <c r="O711" s="3"/>
    </row>
    <row r="712" spans="14:15" x14ac:dyDescent="0.3">
      <c r="N712" s="3"/>
      <c r="O712" s="3"/>
    </row>
    <row r="713" spans="14:15" x14ac:dyDescent="0.3">
      <c r="N713" s="3"/>
      <c r="O713" s="3"/>
    </row>
    <row r="714" spans="14:15" x14ac:dyDescent="0.3">
      <c r="N714" s="3"/>
      <c r="O714" s="3"/>
    </row>
    <row r="715" spans="14:15" x14ac:dyDescent="0.3">
      <c r="N715" s="3"/>
      <c r="O715" s="3"/>
    </row>
    <row r="716" spans="14:15" x14ac:dyDescent="0.3">
      <c r="N716" s="3"/>
      <c r="O716" s="3"/>
    </row>
    <row r="717" spans="14:15" x14ac:dyDescent="0.3">
      <c r="N717" s="3"/>
      <c r="O717" s="3"/>
    </row>
    <row r="718" spans="14:15" x14ac:dyDescent="0.3">
      <c r="N718" s="3"/>
      <c r="O718" s="3"/>
    </row>
    <row r="719" spans="14:15" x14ac:dyDescent="0.3">
      <c r="N719" s="3"/>
      <c r="O719" s="3"/>
    </row>
    <row r="720" spans="14:15" x14ac:dyDescent="0.3">
      <c r="N720" s="3"/>
      <c r="O720" s="3"/>
    </row>
    <row r="721" spans="14:15" x14ac:dyDescent="0.3">
      <c r="N721" s="3"/>
      <c r="O721" s="3"/>
    </row>
    <row r="722" spans="14:15" x14ac:dyDescent="0.3">
      <c r="N722" s="3"/>
      <c r="O722" s="3"/>
    </row>
    <row r="723" spans="14:15" x14ac:dyDescent="0.3">
      <c r="N723" s="3"/>
      <c r="O723" s="3"/>
    </row>
    <row r="724" spans="14:15" x14ac:dyDescent="0.3">
      <c r="N724" s="3"/>
      <c r="O724" s="3"/>
    </row>
    <row r="725" spans="14:15" x14ac:dyDescent="0.3">
      <c r="N725" s="3"/>
      <c r="O725" s="3"/>
    </row>
    <row r="726" spans="14:15" x14ac:dyDescent="0.3">
      <c r="N726" s="3"/>
      <c r="O726" s="3"/>
    </row>
    <row r="727" spans="14:15" x14ac:dyDescent="0.3">
      <c r="N727" s="3"/>
      <c r="O727" s="3"/>
    </row>
    <row r="728" spans="14:15" x14ac:dyDescent="0.3">
      <c r="N728" s="3"/>
      <c r="O728" s="3"/>
    </row>
    <row r="729" spans="14:15" x14ac:dyDescent="0.3">
      <c r="N729" s="3"/>
      <c r="O729" s="3"/>
    </row>
    <row r="730" spans="14:15" x14ac:dyDescent="0.3">
      <c r="N730" s="3"/>
      <c r="O730" s="3"/>
    </row>
    <row r="731" spans="14:15" x14ac:dyDescent="0.3">
      <c r="N731" s="3"/>
      <c r="O731" s="3"/>
    </row>
    <row r="732" spans="14:15" x14ac:dyDescent="0.3">
      <c r="N732" s="3"/>
      <c r="O732" s="3"/>
    </row>
    <row r="733" spans="14:15" x14ac:dyDescent="0.3">
      <c r="N733" s="3"/>
      <c r="O733" s="3"/>
    </row>
    <row r="734" spans="14:15" x14ac:dyDescent="0.3">
      <c r="N734" s="3"/>
      <c r="O734" s="3"/>
    </row>
    <row r="735" spans="14:15" x14ac:dyDescent="0.3">
      <c r="N735" s="3"/>
      <c r="O735" s="3"/>
    </row>
    <row r="736" spans="14:15" x14ac:dyDescent="0.3">
      <c r="N736" s="3"/>
      <c r="O736" s="3"/>
    </row>
    <row r="737" spans="14:15" x14ac:dyDescent="0.3">
      <c r="N737" s="3"/>
      <c r="O737" s="3"/>
    </row>
    <row r="738" spans="14:15" x14ac:dyDescent="0.3">
      <c r="N738" s="3"/>
      <c r="O738" s="3"/>
    </row>
    <row r="739" spans="14:15" x14ac:dyDescent="0.3">
      <c r="N739" s="3"/>
      <c r="O739" s="3"/>
    </row>
    <row r="740" spans="14:15" x14ac:dyDescent="0.3">
      <c r="N740" s="3"/>
      <c r="O740" s="3"/>
    </row>
    <row r="741" spans="14:15" x14ac:dyDescent="0.3">
      <c r="N741" s="3"/>
      <c r="O741" s="3"/>
    </row>
    <row r="742" spans="14:15" x14ac:dyDescent="0.3">
      <c r="N742" s="3"/>
      <c r="O742" s="3"/>
    </row>
    <row r="743" spans="14:15" x14ac:dyDescent="0.3">
      <c r="N743" s="3"/>
      <c r="O743" s="3"/>
    </row>
    <row r="744" spans="14:15" x14ac:dyDescent="0.3">
      <c r="N744" s="3"/>
      <c r="O744" s="3"/>
    </row>
    <row r="745" spans="14:15" x14ac:dyDescent="0.3">
      <c r="N745" s="3"/>
      <c r="O745" s="3"/>
    </row>
    <row r="746" spans="14:15" x14ac:dyDescent="0.3">
      <c r="N746" s="3"/>
      <c r="O746" s="3"/>
    </row>
    <row r="747" spans="14:15" x14ac:dyDescent="0.3">
      <c r="N747" s="3"/>
      <c r="O747" s="3"/>
    </row>
    <row r="748" spans="14:15" x14ac:dyDescent="0.3">
      <c r="N748" s="3"/>
      <c r="O748" s="3"/>
    </row>
    <row r="749" spans="14:15" x14ac:dyDescent="0.3">
      <c r="N749" s="3"/>
      <c r="O749" s="3"/>
    </row>
    <row r="750" spans="14:15" x14ac:dyDescent="0.3">
      <c r="N750" s="3"/>
      <c r="O750" s="3"/>
    </row>
    <row r="751" spans="14:15" x14ac:dyDescent="0.3">
      <c r="N751" s="3"/>
      <c r="O751" s="3"/>
    </row>
    <row r="752" spans="14:15" x14ac:dyDescent="0.3">
      <c r="N752" s="3"/>
      <c r="O752" s="3"/>
    </row>
    <row r="753" spans="14:15" x14ac:dyDescent="0.3">
      <c r="N753" s="3"/>
      <c r="O753" s="3"/>
    </row>
    <row r="754" spans="14:15" x14ac:dyDescent="0.3">
      <c r="N754" s="3"/>
      <c r="O754" s="3"/>
    </row>
    <row r="755" spans="14:15" x14ac:dyDescent="0.3">
      <c r="N755" s="3"/>
      <c r="O755" s="3"/>
    </row>
    <row r="756" spans="14:15" x14ac:dyDescent="0.3">
      <c r="N756" s="3"/>
      <c r="O756" s="3"/>
    </row>
    <row r="757" spans="14:15" x14ac:dyDescent="0.3">
      <c r="N757" s="3"/>
      <c r="O757" s="3"/>
    </row>
    <row r="758" spans="14:15" x14ac:dyDescent="0.3">
      <c r="N758" s="3"/>
      <c r="O758" s="3"/>
    </row>
    <row r="759" spans="14:15" x14ac:dyDescent="0.3">
      <c r="N759" s="3"/>
      <c r="O759" s="3"/>
    </row>
    <row r="760" spans="14:15" x14ac:dyDescent="0.3">
      <c r="N760" s="3"/>
      <c r="O760" s="3"/>
    </row>
    <row r="761" spans="14:15" x14ac:dyDescent="0.3">
      <c r="N761" s="3"/>
      <c r="O761" s="3"/>
    </row>
    <row r="762" spans="14:15" x14ac:dyDescent="0.3">
      <c r="N762" s="3"/>
      <c r="O762" s="3"/>
    </row>
    <row r="763" spans="14:15" x14ac:dyDescent="0.3">
      <c r="N763" s="3"/>
      <c r="O763" s="3"/>
    </row>
    <row r="764" spans="14:15" x14ac:dyDescent="0.3">
      <c r="N764" s="3"/>
      <c r="O764" s="3"/>
    </row>
    <row r="765" spans="14:15" x14ac:dyDescent="0.3">
      <c r="N765" s="3"/>
      <c r="O765" s="3"/>
    </row>
    <row r="766" spans="14:15" x14ac:dyDescent="0.3">
      <c r="N766" s="3"/>
      <c r="O766" s="3"/>
    </row>
    <row r="767" spans="14:15" x14ac:dyDescent="0.3">
      <c r="N767" s="3"/>
      <c r="O767" s="3"/>
    </row>
    <row r="768" spans="14:15" x14ac:dyDescent="0.3">
      <c r="N768" s="3"/>
      <c r="O768" s="3"/>
    </row>
    <row r="769" spans="14:15" x14ac:dyDescent="0.3">
      <c r="N769" s="3"/>
      <c r="O769" s="3"/>
    </row>
    <row r="770" spans="14:15" x14ac:dyDescent="0.3">
      <c r="N770" s="3"/>
      <c r="O770" s="3"/>
    </row>
    <row r="771" spans="14:15" x14ac:dyDescent="0.3">
      <c r="N771" s="3"/>
      <c r="O771" s="3"/>
    </row>
    <row r="772" spans="14:15" x14ac:dyDescent="0.3">
      <c r="N772" s="3"/>
      <c r="O772" s="3"/>
    </row>
    <row r="773" spans="14:15" x14ac:dyDescent="0.3">
      <c r="N773" s="3"/>
      <c r="O773" s="3"/>
    </row>
    <row r="774" spans="14:15" x14ac:dyDescent="0.3">
      <c r="N774" s="3"/>
      <c r="O774" s="3"/>
    </row>
    <row r="775" spans="14:15" x14ac:dyDescent="0.3">
      <c r="N775" s="3"/>
      <c r="O775" s="3"/>
    </row>
    <row r="776" spans="14:15" x14ac:dyDescent="0.3">
      <c r="N776" s="3"/>
      <c r="O776" s="3"/>
    </row>
    <row r="777" spans="14:15" x14ac:dyDescent="0.3">
      <c r="N777" s="3"/>
      <c r="O777" s="3"/>
    </row>
    <row r="778" spans="14:15" x14ac:dyDescent="0.3">
      <c r="N778" s="3"/>
      <c r="O778" s="3"/>
    </row>
    <row r="779" spans="14:15" x14ac:dyDescent="0.3">
      <c r="N779" s="3"/>
      <c r="O779" s="3"/>
    </row>
    <row r="780" spans="14:15" x14ac:dyDescent="0.3">
      <c r="N780" s="3"/>
      <c r="O780" s="3"/>
    </row>
    <row r="781" spans="14:15" x14ac:dyDescent="0.3">
      <c r="N781" s="3"/>
      <c r="O781" s="3"/>
    </row>
    <row r="782" spans="14:15" x14ac:dyDescent="0.3">
      <c r="N782" s="3"/>
      <c r="O782" s="3"/>
    </row>
    <row r="783" spans="14:15" x14ac:dyDescent="0.3">
      <c r="N783" s="3"/>
      <c r="O783" s="3"/>
    </row>
    <row r="784" spans="14:15" x14ac:dyDescent="0.3">
      <c r="N784" s="3"/>
      <c r="O784" s="3"/>
    </row>
    <row r="785" spans="14:15" x14ac:dyDescent="0.3">
      <c r="N785" s="3"/>
      <c r="O785" s="3"/>
    </row>
    <row r="786" spans="14:15" x14ac:dyDescent="0.3">
      <c r="N786" s="3"/>
      <c r="O786" s="3"/>
    </row>
    <row r="787" spans="14:15" x14ac:dyDescent="0.3">
      <c r="N787" s="3"/>
      <c r="O787" s="3"/>
    </row>
    <row r="788" spans="14:15" x14ac:dyDescent="0.3">
      <c r="N788" s="3"/>
      <c r="O788" s="3"/>
    </row>
    <row r="789" spans="14:15" x14ac:dyDescent="0.3">
      <c r="N789" s="3"/>
      <c r="O789" s="3"/>
    </row>
    <row r="790" spans="14:15" x14ac:dyDescent="0.3">
      <c r="N790" s="3"/>
      <c r="O790" s="3"/>
    </row>
    <row r="791" spans="14:15" x14ac:dyDescent="0.3">
      <c r="N791" s="3"/>
      <c r="O791" s="3"/>
    </row>
    <row r="792" spans="14:15" x14ac:dyDescent="0.3">
      <c r="N792" s="3"/>
      <c r="O792" s="3"/>
    </row>
    <row r="793" spans="14:15" x14ac:dyDescent="0.3">
      <c r="N793" s="3"/>
      <c r="O793" s="3"/>
    </row>
    <row r="794" spans="14:15" x14ac:dyDescent="0.3">
      <c r="N794" s="3"/>
      <c r="O794" s="3"/>
    </row>
    <row r="795" spans="14:15" x14ac:dyDescent="0.3">
      <c r="N795" s="3"/>
      <c r="O795" s="3"/>
    </row>
    <row r="796" spans="14:15" x14ac:dyDescent="0.3">
      <c r="N796" s="3"/>
      <c r="O796" s="3"/>
    </row>
    <row r="797" spans="14:15" x14ac:dyDescent="0.3">
      <c r="N797" s="3"/>
      <c r="O797" s="3"/>
    </row>
    <row r="798" spans="14:15" x14ac:dyDescent="0.3">
      <c r="N798" s="3"/>
      <c r="O798" s="3"/>
    </row>
    <row r="799" spans="14:15" x14ac:dyDescent="0.3">
      <c r="N799" s="3"/>
      <c r="O799" s="3"/>
    </row>
    <row r="800" spans="14:15" x14ac:dyDescent="0.3">
      <c r="N800" s="3"/>
      <c r="O800" s="3"/>
    </row>
    <row r="801" spans="14:15" x14ac:dyDescent="0.3">
      <c r="N801" s="3"/>
      <c r="O801" s="3"/>
    </row>
    <row r="802" spans="14:15" x14ac:dyDescent="0.3">
      <c r="N802" s="3"/>
      <c r="O802" s="3"/>
    </row>
    <row r="803" spans="14:15" x14ac:dyDescent="0.3">
      <c r="N803" s="3"/>
      <c r="O803" s="3"/>
    </row>
    <row r="804" spans="14:15" x14ac:dyDescent="0.3">
      <c r="N804" s="3"/>
      <c r="O804" s="3"/>
    </row>
    <row r="805" spans="14:15" x14ac:dyDescent="0.3">
      <c r="N805" s="3"/>
      <c r="O805" s="3"/>
    </row>
    <row r="806" spans="14:15" x14ac:dyDescent="0.3">
      <c r="N806" s="3"/>
      <c r="O806" s="3"/>
    </row>
    <row r="807" spans="14:15" x14ac:dyDescent="0.3">
      <c r="N807" s="3"/>
      <c r="O807" s="3"/>
    </row>
    <row r="808" spans="14:15" x14ac:dyDescent="0.3">
      <c r="N808" s="3"/>
      <c r="O808" s="3"/>
    </row>
    <row r="809" spans="14:15" x14ac:dyDescent="0.3">
      <c r="N809" s="3"/>
      <c r="O809" s="3"/>
    </row>
    <row r="810" spans="14:15" x14ac:dyDescent="0.3">
      <c r="N810" s="3"/>
      <c r="O810" s="3"/>
    </row>
    <row r="811" spans="14:15" x14ac:dyDescent="0.3">
      <c r="N811" s="3"/>
      <c r="O811" s="3"/>
    </row>
    <row r="812" spans="14:15" x14ac:dyDescent="0.3">
      <c r="N812" s="3"/>
      <c r="O812" s="3"/>
    </row>
    <row r="813" spans="14:15" x14ac:dyDescent="0.3">
      <c r="N813" s="3"/>
      <c r="O813" s="3"/>
    </row>
    <row r="814" spans="14:15" x14ac:dyDescent="0.3">
      <c r="N814" s="3"/>
      <c r="O814" s="3"/>
    </row>
    <row r="815" spans="14:15" x14ac:dyDescent="0.3">
      <c r="N815" s="3"/>
      <c r="O815" s="3"/>
    </row>
    <row r="816" spans="14:15" x14ac:dyDescent="0.3">
      <c r="N816" s="3"/>
      <c r="O816" s="3"/>
    </row>
    <row r="817" spans="14:15" x14ac:dyDescent="0.3">
      <c r="N817" s="3"/>
      <c r="O817" s="3"/>
    </row>
    <row r="818" spans="14:15" x14ac:dyDescent="0.3">
      <c r="N818" s="3"/>
      <c r="O818" s="3"/>
    </row>
    <row r="819" spans="14:15" x14ac:dyDescent="0.3">
      <c r="N819" s="3"/>
      <c r="O819" s="3"/>
    </row>
    <row r="820" spans="14:15" x14ac:dyDescent="0.3">
      <c r="N820" s="3"/>
      <c r="O820" s="3"/>
    </row>
    <row r="821" spans="14:15" x14ac:dyDescent="0.3">
      <c r="N821" s="3"/>
      <c r="O821" s="3"/>
    </row>
    <row r="822" spans="14:15" x14ac:dyDescent="0.3">
      <c r="N822" s="3"/>
      <c r="O822" s="3"/>
    </row>
    <row r="823" spans="14:15" x14ac:dyDescent="0.3">
      <c r="N823" s="3"/>
      <c r="O823" s="3"/>
    </row>
    <row r="824" spans="14:15" x14ac:dyDescent="0.3">
      <c r="N824" s="3"/>
      <c r="O824" s="3"/>
    </row>
    <row r="825" spans="14:15" x14ac:dyDescent="0.3">
      <c r="N825" s="3"/>
      <c r="O825" s="3"/>
    </row>
    <row r="826" spans="14:15" x14ac:dyDescent="0.3">
      <c r="N826" s="3"/>
      <c r="O826" s="3"/>
    </row>
    <row r="827" spans="14:15" x14ac:dyDescent="0.3">
      <c r="N827" s="3"/>
      <c r="O827" s="3"/>
    </row>
    <row r="828" spans="14:15" x14ac:dyDescent="0.3">
      <c r="N828" s="3"/>
      <c r="O828" s="3"/>
    </row>
    <row r="829" spans="14:15" x14ac:dyDescent="0.3">
      <c r="N829" s="3"/>
      <c r="O829" s="3"/>
    </row>
    <row r="830" spans="14:15" x14ac:dyDescent="0.3">
      <c r="N830" s="3"/>
      <c r="O830" s="3"/>
    </row>
    <row r="831" spans="14:15" x14ac:dyDescent="0.3">
      <c r="N831" s="3"/>
      <c r="O831" s="3"/>
    </row>
    <row r="832" spans="14:15" x14ac:dyDescent="0.3">
      <c r="N832" s="3"/>
      <c r="O832" s="3"/>
    </row>
    <row r="833" spans="14:15" x14ac:dyDescent="0.3">
      <c r="N833" s="3"/>
      <c r="O833" s="3"/>
    </row>
    <row r="834" spans="14:15" x14ac:dyDescent="0.3">
      <c r="N834" s="3"/>
      <c r="O834" s="3"/>
    </row>
    <row r="835" spans="14:15" x14ac:dyDescent="0.3">
      <c r="N835" s="3"/>
      <c r="O835" s="3"/>
    </row>
    <row r="836" spans="14:15" x14ac:dyDescent="0.3">
      <c r="N836" s="3"/>
      <c r="O836" s="3"/>
    </row>
    <row r="837" spans="14:15" x14ac:dyDescent="0.3">
      <c r="N837" s="3"/>
      <c r="O837" s="3"/>
    </row>
    <row r="838" spans="14:15" x14ac:dyDescent="0.3">
      <c r="N838" s="3"/>
      <c r="O838" s="3"/>
    </row>
    <row r="839" spans="14:15" x14ac:dyDescent="0.3">
      <c r="N839" s="3"/>
      <c r="O839" s="3"/>
    </row>
    <row r="840" spans="14:15" x14ac:dyDescent="0.3">
      <c r="N840" s="3"/>
      <c r="O840" s="3"/>
    </row>
    <row r="841" spans="14:15" x14ac:dyDescent="0.3">
      <c r="N841" s="3"/>
      <c r="O841" s="3"/>
    </row>
    <row r="842" spans="14:15" x14ac:dyDescent="0.3">
      <c r="N842" s="3"/>
      <c r="O842" s="3"/>
    </row>
    <row r="843" spans="14:15" x14ac:dyDescent="0.3">
      <c r="N843" s="3"/>
      <c r="O843" s="3"/>
    </row>
    <row r="844" spans="14:15" x14ac:dyDescent="0.3">
      <c r="N844" s="3"/>
      <c r="O844" s="3"/>
    </row>
    <row r="845" spans="14:15" x14ac:dyDescent="0.3">
      <c r="N845" s="3"/>
      <c r="O845" s="3"/>
    </row>
    <row r="846" spans="14:15" x14ac:dyDescent="0.3">
      <c r="N846" s="3"/>
      <c r="O846" s="3"/>
    </row>
    <row r="847" spans="14:15" x14ac:dyDescent="0.3">
      <c r="N847" s="3"/>
      <c r="O847" s="3"/>
    </row>
    <row r="848" spans="14:15" x14ac:dyDescent="0.3">
      <c r="N848" s="3"/>
      <c r="O848" s="3"/>
    </row>
    <row r="849" spans="14:15" x14ac:dyDescent="0.3">
      <c r="N849" s="3"/>
      <c r="O849" s="3"/>
    </row>
    <row r="850" spans="14:15" x14ac:dyDescent="0.3">
      <c r="N850" s="3"/>
      <c r="O850" s="3"/>
    </row>
    <row r="851" spans="14:15" x14ac:dyDescent="0.3">
      <c r="N851" s="3"/>
      <c r="O851" s="3"/>
    </row>
    <row r="852" spans="14:15" x14ac:dyDescent="0.3">
      <c r="N852" s="3"/>
      <c r="O852" s="3"/>
    </row>
    <row r="853" spans="14:15" x14ac:dyDescent="0.3">
      <c r="N853" s="3"/>
      <c r="O853" s="3"/>
    </row>
    <row r="854" spans="14:15" x14ac:dyDescent="0.3">
      <c r="N854" s="3"/>
      <c r="O854" s="3"/>
    </row>
    <row r="855" spans="14:15" x14ac:dyDescent="0.3">
      <c r="N855" s="3"/>
      <c r="O855" s="3"/>
    </row>
    <row r="856" spans="14:15" x14ac:dyDescent="0.3">
      <c r="N856" s="3"/>
      <c r="O856" s="3"/>
    </row>
    <row r="857" spans="14:15" x14ac:dyDescent="0.3">
      <c r="N857" s="3"/>
      <c r="O857" s="3"/>
    </row>
    <row r="858" spans="14:15" x14ac:dyDescent="0.3">
      <c r="N858" s="3"/>
      <c r="O858" s="3"/>
    </row>
    <row r="859" spans="14:15" x14ac:dyDescent="0.3">
      <c r="N859" s="3"/>
      <c r="O859" s="3"/>
    </row>
    <row r="860" spans="14:15" x14ac:dyDescent="0.3">
      <c r="N860" s="3"/>
      <c r="O860" s="3"/>
    </row>
    <row r="861" spans="14:15" x14ac:dyDescent="0.3">
      <c r="N861" s="3"/>
      <c r="O861" s="3"/>
    </row>
    <row r="862" spans="14:15" x14ac:dyDescent="0.3">
      <c r="N862" s="3"/>
      <c r="O862" s="3"/>
    </row>
    <row r="863" spans="14:15" x14ac:dyDescent="0.3">
      <c r="N863" s="3"/>
      <c r="O863" s="3"/>
    </row>
    <row r="864" spans="14:15" x14ac:dyDescent="0.3">
      <c r="N864" s="3"/>
      <c r="O864" s="3"/>
    </row>
    <row r="865" spans="14:15" x14ac:dyDescent="0.3">
      <c r="N865" s="3"/>
      <c r="O865" s="3"/>
    </row>
    <row r="866" spans="14:15" x14ac:dyDescent="0.3">
      <c r="N866" s="3"/>
      <c r="O866" s="3"/>
    </row>
    <row r="867" spans="14:15" x14ac:dyDescent="0.3">
      <c r="N867" s="3"/>
      <c r="O867" s="3"/>
    </row>
    <row r="868" spans="14:15" x14ac:dyDescent="0.3">
      <c r="N868" s="3"/>
      <c r="O868" s="3"/>
    </row>
    <row r="869" spans="14:15" x14ac:dyDescent="0.3">
      <c r="N869" s="3"/>
      <c r="O869" s="3"/>
    </row>
    <row r="870" spans="14:15" x14ac:dyDescent="0.3">
      <c r="N870" s="3"/>
      <c r="O870" s="3"/>
    </row>
    <row r="871" spans="14:15" x14ac:dyDescent="0.3">
      <c r="N871" s="3"/>
      <c r="O871" s="3"/>
    </row>
    <row r="872" spans="14:15" x14ac:dyDescent="0.3">
      <c r="N872" s="3"/>
      <c r="O872" s="3"/>
    </row>
    <row r="873" spans="14:15" x14ac:dyDescent="0.3">
      <c r="N873" s="3"/>
      <c r="O873" s="3"/>
    </row>
    <row r="874" spans="14:15" x14ac:dyDescent="0.3">
      <c r="N874" s="3"/>
      <c r="O874" s="3"/>
    </row>
    <row r="875" spans="14:15" x14ac:dyDescent="0.3">
      <c r="N875" s="3"/>
      <c r="O875" s="3"/>
    </row>
    <row r="876" spans="14:15" x14ac:dyDescent="0.3">
      <c r="N876" s="3"/>
      <c r="O876" s="3"/>
    </row>
    <row r="877" spans="14:15" x14ac:dyDescent="0.3">
      <c r="N877" s="3"/>
      <c r="O877" s="3"/>
    </row>
    <row r="878" spans="14:15" x14ac:dyDescent="0.3">
      <c r="N878" s="3"/>
      <c r="O878" s="3"/>
    </row>
    <row r="879" spans="14:15" x14ac:dyDescent="0.3">
      <c r="N879" s="3"/>
      <c r="O879" s="3"/>
    </row>
    <row r="880" spans="14:15" x14ac:dyDescent="0.3">
      <c r="N880" s="3"/>
      <c r="O880" s="3"/>
    </row>
    <row r="881" spans="14:15" x14ac:dyDescent="0.3">
      <c r="N881" s="3"/>
      <c r="O881" s="3"/>
    </row>
    <row r="882" spans="14:15" x14ac:dyDescent="0.3">
      <c r="N882" s="3"/>
      <c r="O882" s="3"/>
    </row>
    <row r="883" spans="14:15" x14ac:dyDescent="0.3">
      <c r="N883" s="3"/>
      <c r="O883" s="3"/>
    </row>
    <row r="884" spans="14:15" x14ac:dyDescent="0.3">
      <c r="N884" s="3"/>
      <c r="O884" s="3"/>
    </row>
    <row r="885" spans="14:15" x14ac:dyDescent="0.3">
      <c r="N885" s="3"/>
      <c r="O885" s="3"/>
    </row>
    <row r="886" spans="14:15" x14ac:dyDescent="0.3">
      <c r="N886" s="3"/>
      <c r="O886" s="3"/>
    </row>
    <row r="887" spans="14:15" x14ac:dyDescent="0.3">
      <c r="N887" s="3"/>
      <c r="O887" s="3"/>
    </row>
    <row r="888" spans="14:15" x14ac:dyDescent="0.3">
      <c r="N888" s="3"/>
      <c r="O888" s="3"/>
    </row>
    <row r="889" spans="14:15" x14ac:dyDescent="0.3">
      <c r="N889" s="3"/>
      <c r="O889" s="3"/>
    </row>
    <row r="890" spans="14:15" x14ac:dyDescent="0.3">
      <c r="N890" s="3"/>
      <c r="O890" s="3"/>
    </row>
    <row r="891" spans="14:15" x14ac:dyDescent="0.3">
      <c r="N891" s="3"/>
      <c r="O891" s="3"/>
    </row>
    <row r="892" spans="14:15" x14ac:dyDescent="0.3">
      <c r="N892" s="3"/>
      <c r="O892" s="3"/>
    </row>
    <row r="893" spans="14:15" x14ac:dyDescent="0.3">
      <c r="N893" s="3"/>
      <c r="O893" s="3"/>
    </row>
    <row r="894" spans="14:15" x14ac:dyDescent="0.3">
      <c r="N894" s="3"/>
      <c r="O894" s="3"/>
    </row>
    <row r="895" spans="14:15" x14ac:dyDescent="0.3">
      <c r="N895" s="3"/>
      <c r="O895" s="3"/>
    </row>
    <row r="896" spans="14:15" x14ac:dyDescent="0.3">
      <c r="N896" s="3"/>
      <c r="O896" s="3"/>
    </row>
    <row r="897" spans="14:15" x14ac:dyDescent="0.3">
      <c r="N897" s="3"/>
      <c r="O897" s="3"/>
    </row>
    <row r="898" spans="14:15" x14ac:dyDescent="0.3">
      <c r="N898" s="3"/>
      <c r="O898" s="3"/>
    </row>
    <row r="899" spans="14:15" x14ac:dyDescent="0.3">
      <c r="N899" s="3"/>
      <c r="O899" s="3"/>
    </row>
    <row r="900" spans="14:15" x14ac:dyDescent="0.3">
      <c r="N900" s="3"/>
      <c r="O900" s="3"/>
    </row>
    <row r="901" spans="14:15" x14ac:dyDescent="0.3">
      <c r="N901" s="3"/>
      <c r="O901" s="3"/>
    </row>
    <row r="902" spans="14:15" x14ac:dyDescent="0.3">
      <c r="N902" s="3"/>
      <c r="O902" s="3"/>
    </row>
    <row r="903" spans="14:15" x14ac:dyDescent="0.3">
      <c r="N903" s="3"/>
      <c r="O903" s="3"/>
    </row>
    <row r="904" spans="14:15" x14ac:dyDescent="0.3">
      <c r="N904" s="3"/>
      <c r="O904" s="3"/>
    </row>
    <row r="905" spans="14:15" x14ac:dyDescent="0.3">
      <c r="N905" s="3"/>
      <c r="O905" s="3"/>
    </row>
    <row r="906" spans="14:15" x14ac:dyDescent="0.3">
      <c r="N906" s="3"/>
      <c r="O906" s="3"/>
    </row>
    <row r="907" spans="14:15" x14ac:dyDescent="0.3">
      <c r="N907" s="3"/>
      <c r="O907" s="3"/>
    </row>
    <row r="908" spans="14:15" x14ac:dyDescent="0.3">
      <c r="N908" s="3"/>
      <c r="O908" s="3"/>
    </row>
    <row r="909" spans="14:15" x14ac:dyDescent="0.3">
      <c r="N909" s="3"/>
      <c r="O909" s="3"/>
    </row>
    <row r="910" spans="14:15" x14ac:dyDescent="0.3">
      <c r="N910" s="3"/>
      <c r="O910" s="3"/>
    </row>
    <row r="911" spans="14:15" x14ac:dyDescent="0.3">
      <c r="N911" s="3"/>
      <c r="O911" s="3"/>
    </row>
    <row r="912" spans="14:15" x14ac:dyDescent="0.3">
      <c r="N912" s="3"/>
      <c r="O912" s="3"/>
    </row>
    <row r="913" spans="14:15" x14ac:dyDescent="0.3">
      <c r="N913" s="3"/>
      <c r="O913" s="3"/>
    </row>
    <row r="914" spans="14:15" x14ac:dyDescent="0.3">
      <c r="N914" s="3"/>
      <c r="O914" s="3"/>
    </row>
    <row r="915" spans="14:15" x14ac:dyDescent="0.3">
      <c r="N915" s="3"/>
      <c r="O915" s="3"/>
    </row>
    <row r="916" spans="14:15" x14ac:dyDescent="0.3">
      <c r="N916" s="3"/>
      <c r="O916" s="3"/>
    </row>
    <row r="917" spans="14:15" x14ac:dyDescent="0.3">
      <c r="N917" s="3"/>
      <c r="O917" s="3"/>
    </row>
    <row r="918" spans="14:15" x14ac:dyDescent="0.3">
      <c r="N918" s="3"/>
      <c r="O918" s="3"/>
    </row>
    <row r="919" spans="14:15" x14ac:dyDescent="0.3">
      <c r="N919" s="3"/>
      <c r="O919" s="3"/>
    </row>
    <row r="920" spans="14:15" x14ac:dyDescent="0.3">
      <c r="N920" s="3"/>
      <c r="O920" s="3"/>
    </row>
    <row r="921" spans="14:15" x14ac:dyDescent="0.3">
      <c r="N921" s="3"/>
      <c r="O921" s="3"/>
    </row>
    <row r="922" spans="14:15" x14ac:dyDescent="0.3">
      <c r="N922" s="3"/>
      <c r="O922" s="3"/>
    </row>
    <row r="923" spans="14:15" x14ac:dyDescent="0.3">
      <c r="N923" s="3"/>
      <c r="O923" s="3"/>
    </row>
    <row r="924" spans="14:15" x14ac:dyDescent="0.3">
      <c r="N924" s="3"/>
      <c r="O924" s="3"/>
    </row>
    <row r="925" spans="14:15" x14ac:dyDescent="0.3">
      <c r="N925" s="3"/>
      <c r="O925" s="3"/>
    </row>
    <row r="926" spans="14:15" x14ac:dyDescent="0.3">
      <c r="N926" s="3"/>
      <c r="O926" s="3"/>
    </row>
    <row r="927" spans="14:15" x14ac:dyDescent="0.3">
      <c r="N927" s="3"/>
      <c r="O927" s="3"/>
    </row>
    <row r="928" spans="14:15" x14ac:dyDescent="0.3">
      <c r="N928" s="3"/>
      <c r="O928" s="3"/>
    </row>
    <row r="929" spans="14:15" x14ac:dyDescent="0.3">
      <c r="N929" s="3"/>
      <c r="O929" s="3"/>
    </row>
    <row r="930" spans="14:15" x14ac:dyDescent="0.3">
      <c r="N930" s="3"/>
      <c r="O930" s="3"/>
    </row>
    <row r="931" spans="14:15" x14ac:dyDescent="0.3">
      <c r="N931" s="3"/>
      <c r="O931" s="3"/>
    </row>
    <row r="932" spans="14:15" x14ac:dyDescent="0.3">
      <c r="N932" s="3"/>
      <c r="O932" s="3"/>
    </row>
    <row r="933" spans="14:15" x14ac:dyDescent="0.3">
      <c r="N933" s="3"/>
      <c r="O933" s="3"/>
    </row>
    <row r="934" spans="14:15" x14ac:dyDescent="0.3">
      <c r="N934" s="3"/>
      <c r="O934" s="3"/>
    </row>
    <row r="935" spans="14:15" x14ac:dyDescent="0.3">
      <c r="N935" s="3"/>
      <c r="O935" s="3"/>
    </row>
    <row r="936" spans="14:15" x14ac:dyDescent="0.3">
      <c r="N936" s="3"/>
      <c r="O936" s="3"/>
    </row>
    <row r="937" spans="14:15" x14ac:dyDescent="0.3">
      <c r="N937" s="3"/>
      <c r="O937" s="3"/>
    </row>
    <row r="938" spans="14:15" x14ac:dyDescent="0.3">
      <c r="N938" s="3"/>
      <c r="O938" s="3"/>
    </row>
    <row r="939" spans="14:15" x14ac:dyDescent="0.3">
      <c r="N939" s="3"/>
      <c r="O939" s="3"/>
    </row>
    <row r="940" spans="14:15" x14ac:dyDescent="0.3">
      <c r="N940" s="3"/>
      <c r="O940" s="3"/>
    </row>
    <row r="941" spans="14:15" x14ac:dyDescent="0.3">
      <c r="N941" s="3"/>
      <c r="O941" s="3"/>
    </row>
    <row r="942" spans="14:15" x14ac:dyDescent="0.3">
      <c r="N942" s="3"/>
      <c r="O942" s="3"/>
    </row>
    <row r="943" spans="14:15" x14ac:dyDescent="0.3">
      <c r="N943" s="3"/>
      <c r="O943" s="3"/>
    </row>
    <row r="944" spans="14:15" x14ac:dyDescent="0.3">
      <c r="N944" s="3"/>
      <c r="O944" s="3"/>
    </row>
    <row r="945" spans="14:15" x14ac:dyDescent="0.3">
      <c r="N945" s="3"/>
      <c r="O945" s="3"/>
    </row>
    <row r="946" spans="14:15" x14ac:dyDescent="0.3">
      <c r="N946" s="3"/>
      <c r="O946" s="3"/>
    </row>
    <row r="947" spans="14:15" x14ac:dyDescent="0.3">
      <c r="N947" s="3"/>
      <c r="O947" s="3"/>
    </row>
    <row r="948" spans="14:15" x14ac:dyDescent="0.3">
      <c r="N948" s="3"/>
      <c r="O948" s="3"/>
    </row>
    <row r="949" spans="14:15" x14ac:dyDescent="0.3">
      <c r="N949" s="3"/>
      <c r="O949" s="3"/>
    </row>
    <row r="950" spans="14:15" x14ac:dyDescent="0.3">
      <c r="N950" s="3"/>
      <c r="O950" s="3"/>
    </row>
    <row r="951" spans="14:15" x14ac:dyDescent="0.3">
      <c r="N951" s="3"/>
      <c r="O951" s="3"/>
    </row>
    <row r="952" spans="14:15" x14ac:dyDescent="0.3">
      <c r="N952" s="3"/>
      <c r="O952" s="3"/>
    </row>
    <row r="953" spans="14:15" x14ac:dyDescent="0.3">
      <c r="N953" s="3"/>
      <c r="O953" s="3"/>
    </row>
    <row r="954" spans="14:15" x14ac:dyDescent="0.3">
      <c r="N954" s="3"/>
      <c r="O954" s="3"/>
    </row>
    <row r="955" spans="14:15" x14ac:dyDescent="0.3">
      <c r="N955" s="3"/>
      <c r="O955" s="3"/>
    </row>
    <row r="956" spans="14:15" x14ac:dyDescent="0.3">
      <c r="N956" s="3"/>
      <c r="O956" s="3"/>
    </row>
    <row r="957" spans="14:15" x14ac:dyDescent="0.3">
      <c r="N957" s="3"/>
      <c r="O957" s="3"/>
    </row>
    <row r="958" spans="14:15" x14ac:dyDescent="0.3">
      <c r="N958" s="3"/>
      <c r="O958" s="3"/>
    </row>
    <row r="959" spans="14:15" x14ac:dyDescent="0.3">
      <c r="N959" s="3"/>
      <c r="O959" s="3"/>
    </row>
    <row r="960" spans="14:15" x14ac:dyDescent="0.3">
      <c r="N960" s="3"/>
      <c r="O960" s="3"/>
    </row>
    <row r="961" spans="14:15" x14ac:dyDescent="0.3">
      <c r="N961" s="3"/>
      <c r="O961" s="3"/>
    </row>
    <row r="962" spans="14:15" x14ac:dyDescent="0.3">
      <c r="N962" s="3"/>
      <c r="O962" s="3"/>
    </row>
    <row r="963" spans="14:15" x14ac:dyDescent="0.3">
      <c r="N963" s="3"/>
      <c r="O963" s="3"/>
    </row>
    <row r="964" spans="14:15" x14ac:dyDescent="0.3">
      <c r="N964" s="3"/>
      <c r="O964" s="3"/>
    </row>
    <row r="965" spans="14:15" x14ac:dyDescent="0.3">
      <c r="N965" s="3"/>
      <c r="O965" s="3"/>
    </row>
    <row r="966" spans="14:15" x14ac:dyDescent="0.3">
      <c r="N966" s="3"/>
      <c r="O966" s="3"/>
    </row>
    <row r="967" spans="14:15" x14ac:dyDescent="0.3">
      <c r="N967" s="3"/>
      <c r="O967" s="3"/>
    </row>
    <row r="968" spans="14:15" x14ac:dyDescent="0.3">
      <c r="N968" s="3"/>
      <c r="O968" s="3"/>
    </row>
    <row r="969" spans="14:15" x14ac:dyDescent="0.3">
      <c r="N969" s="3"/>
      <c r="O969" s="3"/>
    </row>
    <row r="970" spans="14:15" x14ac:dyDescent="0.3">
      <c r="N970" s="3"/>
      <c r="O970" s="3"/>
    </row>
    <row r="971" spans="14:15" x14ac:dyDescent="0.3">
      <c r="N971" s="3"/>
      <c r="O971" s="3"/>
    </row>
    <row r="972" spans="14:15" x14ac:dyDescent="0.3">
      <c r="N972" s="3"/>
      <c r="O972" s="3"/>
    </row>
    <row r="973" spans="14:15" x14ac:dyDescent="0.3">
      <c r="N973" s="3"/>
      <c r="O973" s="3"/>
    </row>
    <row r="974" spans="14:15" x14ac:dyDescent="0.3">
      <c r="N974" s="3"/>
      <c r="O974" s="3"/>
    </row>
    <row r="975" spans="14:15" x14ac:dyDescent="0.3">
      <c r="N975" s="3"/>
      <c r="O975" s="3"/>
    </row>
    <row r="976" spans="14:15" x14ac:dyDescent="0.3">
      <c r="N976" s="3"/>
      <c r="O976" s="3"/>
    </row>
    <row r="977" spans="14:15" x14ac:dyDescent="0.3">
      <c r="N977" s="3"/>
      <c r="O977" s="3"/>
    </row>
    <row r="978" spans="14:15" x14ac:dyDescent="0.3">
      <c r="N978" s="3"/>
      <c r="O978" s="3"/>
    </row>
    <row r="979" spans="14:15" x14ac:dyDescent="0.3">
      <c r="N979" s="3"/>
      <c r="O979" s="3"/>
    </row>
    <row r="980" spans="14:15" x14ac:dyDescent="0.3">
      <c r="N980" s="3"/>
      <c r="O980" s="3"/>
    </row>
    <row r="981" spans="14:15" x14ac:dyDescent="0.3">
      <c r="N981" s="3"/>
      <c r="O981" s="3"/>
    </row>
    <row r="982" spans="14:15" x14ac:dyDescent="0.3">
      <c r="N982" s="3"/>
      <c r="O982" s="3"/>
    </row>
    <row r="983" spans="14:15" x14ac:dyDescent="0.3">
      <c r="N983" s="3"/>
      <c r="O983" s="3"/>
    </row>
    <row r="984" spans="14:15" x14ac:dyDescent="0.3">
      <c r="N984" s="3"/>
      <c r="O984" s="3"/>
    </row>
    <row r="985" spans="14:15" x14ac:dyDescent="0.3">
      <c r="N985" s="3"/>
      <c r="O985" s="3"/>
    </row>
    <row r="986" spans="14:15" x14ac:dyDescent="0.3">
      <c r="N986" s="3"/>
      <c r="O986" s="3"/>
    </row>
    <row r="987" spans="14:15" x14ac:dyDescent="0.3">
      <c r="N987" s="3"/>
      <c r="O987" s="3"/>
    </row>
    <row r="988" spans="14:15" x14ac:dyDescent="0.3">
      <c r="N988" s="3"/>
      <c r="O988" s="3"/>
    </row>
    <row r="989" spans="14:15" x14ac:dyDescent="0.3">
      <c r="N989" s="3"/>
      <c r="O989" s="3"/>
    </row>
    <row r="990" spans="14:15" x14ac:dyDescent="0.3">
      <c r="N990" s="3"/>
      <c r="O990" s="3"/>
    </row>
    <row r="991" spans="14:15" x14ac:dyDescent="0.3">
      <c r="N991" s="3"/>
      <c r="O991" s="3"/>
    </row>
    <row r="992" spans="14:15" x14ac:dyDescent="0.3">
      <c r="N992" s="3"/>
      <c r="O992" s="3"/>
    </row>
    <row r="993" spans="14:15" x14ac:dyDescent="0.3">
      <c r="N993" s="3"/>
      <c r="O993" s="3"/>
    </row>
    <row r="994" spans="14:15" x14ac:dyDescent="0.3">
      <c r="N994" s="3"/>
      <c r="O994" s="3"/>
    </row>
    <row r="995" spans="14:15" x14ac:dyDescent="0.3">
      <c r="N995" s="3"/>
      <c r="O995" s="3"/>
    </row>
    <row r="996" spans="14:15" x14ac:dyDescent="0.3">
      <c r="N996" s="3"/>
      <c r="O996" s="3"/>
    </row>
    <row r="997" spans="14:15" x14ac:dyDescent="0.3">
      <c r="N997" s="3"/>
      <c r="O997" s="3"/>
    </row>
    <row r="998" spans="14:15" x14ac:dyDescent="0.3">
      <c r="N998" s="3"/>
      <c r="O998" s="3"/>
    </row>
    <row r="999" spans="14:15" x14ac:dyDescent="0.3">
      <c r="N999" s="3"/>
      <c r="O999" s="3"/>
    </row>
    <row r="1000" spans="14:15" x14ac:dyDescent="0.3">
      <c r="N1000" s="3"/>
      <c r="O1000" s="3"/>
    </row>
    <row r="1001" spans="14:15" x14ac:dyDescent="0.3">
      <c r="N1001" s="3"/>
      <c r="O1001" s="3"/>
    </row>
    <row r="1002" spans="14:15" x14ac:dyDescent="0.3">
      <c r="N1002" s="3"/>
      <c r="O1002" s="3"/>
    </row>
    <row r="1003" spans="14:15" x14ac:dyDescent="0.3">
      <c r="N1003" s="3"/>
      <c r="O1003" s="3"/>
    </row>
    <row r="1004" spans="14:15" x14ac:dyDescent="0.3">
      <c r="N1004" s="3"/>
      <c r="O1004" s="3"/>
    </row>
    <row r="1005" spans="14:15" x14ac:dyDescent="0.3">
      <c r="N1005" s="3"/>
      <c r="O1005" s="3"/>
    </row>
    <row r="1006" spans="14:15" x14ac:dyDescent="0.3">
      <c r="N1006" s="3"/>
      <c r="O1006" s="3"/>
    </row>
    <row r="1007" spans="14:15" x14ac:dyDescent="0.3">
      <c r="N1007" s="3"/>
      <c r="O1007" s="3"/>
    </row>
    <row r="1008" spans="14:15" x14ac:dyDescent="0.3">
      <c r="N1008" s="3"/>
      <c r="O1008" s="3"/>
    </row>
    <row r="1009" spans="14:15" x14ac:dyDescent="0.3">
      <c r="N1009" s="3"/>
      <c r="O1009" s="3"/>
    </row>
    <row r="1010" spans="14:15" x14ac:dyDescent="0.3">
      <c r="N1010" s="3"/>
      <c r="O1010" s="3"/>
    </row>
    <row r="1011" spans="14:15" x14ac:dyDescent="0.3">
      <c r="N1011" s="3"/>
      <c r="O1011" s="3"/>
    </row>
    <row r="1012" spans="14:15" x14ac:dyDescent="0.3">
      <c r="N1012" s="3"/>
      <c r="O1012" s="3"/>
    </row>
    <row r="1013" spans="14:15" x14ac:dyDescent="0.3">
      <c r="N1013" s="3"/>
      <c r="O1013" s="3"/>
    </row>
    <row r="1014" spans="14:15" x14ac:dyDescent="0.3">
      <c r="N1014" s="3"/>
      <c r="O1014" s="3"/>
    </row>
    <row r="1015" spans="14:15" x14ac:dyDescent="0.3">
      <c r="N1015" s="3"/>
      <c r="O1015" s="3"/>
    </row>
    <row r="1016" spans="14:15" x14ac:dyDescent="0.3">
      <c r="N1016" s="3"/>
      <c r="O1016" s="3"/>
    </row>
    <row r="1017" spans="14:15" x14ac:dyDescent="0.3">
      <c r="N1017" s="3"/>
      <c r="O1017" s="3"/>
    </row>
    <row r="1018" spans="14:15" x14ac:dyDescent="0.3">
      <c r="N1018" s="3"/>
      <c r="O1018" s="3"/>
    </row>
    <row r="1019" spans="14:15" x14ac:dyDescent="0.3">
      <c r="N1019" s="3"/>
      <c r="O1019" s="3"/>
    </row>
    <row r="1020" spans="14:15" x14ac:dyDescent="0.3">
      <c r="N1020" s="3"/>
      <c r="O1020" s="3"/>
    </row>
    <row r="1021" spans="14:15" x14ac:dyDescent="0.3">
      <c r="N1021" s="3"/>
      <c r="O1021" s="3"/>
    </row>
    <row r="1022" spans="14:15" x14ac:dyDescent="0.3">
      <c r="N1022" s="3"/>
      <c r="O1022" s="3"/>
    </row>
    <row r="1023" spans="14:15" x14ac:dyDescent="0.3">
      <c r="N1023" s="3"/>
      <c r="O1023" s="3"/>
    </row>
  </sheetData>
  <mergeCells count="7">
    <mergeCell ref="G24:J26"/>
    <mergeCell ref="B2:E2"/>
    <mergeCell ref="G2:K2"/>
    <mergeCell ref="H10:J10"/>
    <mergeCell ref="H13:J13"/>
    <mergeCell ref="H17:J17"/>
    <mergeCell ref="G21:J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6EBA-4D01-480E-9767-CB6B78BDDE31}">
  <dimension ref="B1:I73"/>
  <sheetViews>
    <sheetView workbookViewId="0">
      <selection activeCell="G9" sqref="G9"/>
    </sheetView>
  </sheetViews>
  <sheetFormatPr defaultRowHeight="14.4" x14ac:dyDescent="0.3"/>
  <cols>
    <col min="2" max="2" width="7" bestFit="1" customWidth="1"/>
    <col min="3" max="3" width="8.44140625" bestFit="1" customWidth="1"/>
    <col min="4" max="4" width="13.33203125" bestFit="1" customWidth="1"/>
    <col min="5" max="5" width="8.21875" customWidth="1"/>
    <col min="7" max="9" width="20.6640625" customWidth="1"/>
  </cols>
  <sheetData>
    <row r="1" spans="2:9" ht="15" thickBot="1" x14ac:dyDescent="0.35"/>
    <row r="2" spans="2:9" ht="15" customHeight="1" x14ac:dyDescent="0.3">
      <c r="B2" s="164" t="s">
        <v>78</v>
      </c>
      <c r="C2" s="165"/>
      <c r="D2" s="165"/>
      <c r="E2" s="165"/>
      <c r="F2" s="165"/>
      <c r="G2" s="165"/>
      <c r="H2" s="165"/>
      <c r="I2" s="166"/>
    </row>
    <row r="3" spans="2:9" x14ac:dyDescent="0.3">
      <c r="B3" s="167"/>
      <c r="C3" s="168"/>
      <c r="D3" s="168"/>
      <c r="E3" s="168"/>
      <c r="F3" s="168"/>
      <c r="G3" s="168"/>
      <c r="H3" s="168"/>
      <c r="I3" s="169"/>
    </row>
    <row r="4" spans="2:9" x14ac:dyDescent="0.3">
      <c r="B4" s="167"/>
      <c r="C4" s="168"/>
      <c r="D4" s="168"/>
      <c r="E4" s="168"/>
      <c r="F4" s="168"/>
      <c r="G4" s="168"/>
      <c r="H4" s="168"/>
      <c r="I4" s="169"/>
    </row>
    <row r="5" spans="2:9" ht="15" thickBot="1" x14ac:dyDescent="0.35">
      <c r="B5" s="170"/>
      <c r="C5" s="171"/>
      <c r="D5" s="171"/>
      <c r="E5" s="171"/>
      <c r="F5" s="171"/>
      <c r="G5" s="171"/>
      <c r="H5" s="171"/>
      <c r="I5" s="172"/>
    </row>
    <row r="7" spans="2:9" x14ac:dyDescent="0.3">
      <c r="B7" s="173" t="s">
        <v>79</v>
      </c>
      <c r="C7" s="174"/>
      <c r="D7" s="175"/>
      <c r="F7" s="173" t="s">
        <v>80</v>
      </c>
      <c r="G7" s="174"/>
      <c r="H7" s="174"/>
      <c r="I7" s="175"/>
    </row>
    <row r="8" spans="2:9" x14ac:dyDescent="0.3">
      <c r="B8" s="14" t="s">
        <v>81</v>
      </c>
      <c r="C8" s="13" t="s">
        <v>82</v>
      </c>
      <c r="D8" s="12" t="s">
        <v>83</v>
      </c>
      <c r="F8" s="14" t="s">
        <v>82</v>
      </c>
      <c r="G8" s="13" t="s">
        <v>84</v>
      </c>
      <c r="H8" s="13" t="s">
        <v>85</v>
      </c>
      <c r="I8" s="12" t="s">
        <v>86</v>
      </c>
    </row>
    <row r="9" spans="2:9" x14ac:dyDescent="0.3">
      <c r="B9" s="11">
        <v>7906</v>
      </c>
      <c r="C9" s="11" t="s">
        <v>87</v>
      </c>
      <c r="D9" s="10">
        <v>122.97</v>
      </c>
      <c r="F9" s="9" t="s">
        <v>88</v>
      </c>
      <c r="G9" s="7">
        <f>COUNTIF($C$9:$C$73,F9)</f>
        <v>13</v>
      </c>
      <c r="H9" s="6">
        <f>SUMIF($C$9:$C$73,F9,$D$9:$D$73)</f>
        <v>3718.2199999999993</v>
      </c>
      <c r="I9" s="6">
        <f>AVERAGEIF($C$9:$C$73,F9,$D$9:$D$73)</f>
        <v>286.01692307692304</v>
      </c>
    </row>
    <row r="10" spans="2:9" x14ac:dyDescent="0.3">
      <c r="B10" s="5">
        <v>7907</v>
      </c>
      <c r="C10" s="5" t="s">
        <v>87</v>
      </c>
      <c r="D10" s="4">
        <v>375.88</v>
      </c>
      <c r="F10" s="8" t="s">
        <v>89</v>
      </c>
      <c r="G10" s="7">
        <f>COUNTIF($C$9:$C$73,F10)</f>
        <v>11</v>
      </c>
      <c r="H10" s="6">
        <f>SUMIF($C$9:$C$73,F10,$D$9:$D$73)</f>
        <v>3819.09</v>
      </c>
      <c r="I10" s="6">
        <f>AVERAGEIF($C$9:$C$73,F10,$D$9:$D$73)</f>
        <v>347.19</v>
      </c>
    </row>
    <row r="11" spans="2:9" x14ac:dyDescent="0.3">
      <c r="B11" s="5">
        <v>7908</v>
      </c>
      <c r="C11" s="5" t="s">
        <v>87</v>
      </c>
      <c r="D11" s="4">
        <v>111.28</v>
      </c>
      <c r="F11" s="8" t="s">
        <v>87</v>
      </c>
      <c r="G11" s="7">
        <f>COUNTIF($C$9:$C$73,F11)</f>
        <v>21</v>
      </c>
      <c r="H11" s="6">
        <f>SUMIF($C$9:$C$73,F11,$D$9:$D$73)</f>
        <v>6154.56</v>
      </c>
      <c r="I11" s="6">
        <f>AVERAGEIF($C$9:$C$73,F11,$D$9:$D$73)</f>
        <v>293.07428571428574</v>
      </c>
    </row>
    <row r="12" spans="2:9" x14ac:dyDescent="0.3">
      <c r="B12" s="5">
        <v>7909</v>
      </c>
      <c r="C12" s="5" t="s">
        <v>88</v>
      </c>
      <c r="D12" s="4">
        <v>344.27</v>
      </c>
      <c r="F12" s="8" t="s">
        <v>90</v>
      </c>
      <c r="G12" s="7">
        <f>COUNTIF($C$9:$C$73,F12)</f>
        <v>13</v>
      </c>
      <c r="H12" s="6">
        <f>SUMIF($C$9:$C$73,F12,$D$9:$D$73)</f>
        <v>3642.91</v>
      </c>
      <c r="I12" s="6">
        <f>AVERAGEIF($C$9:$C$73,F12,$D$9:$D$73)</f>
        <v>280.22384615384613</v>
      </c>
    </row>
    <row r="13" spans="2:9" x14ac:dyDescent="0.3">
      <c r="B13" s="5">
        <v>7910</v>
      </c>
      <c r="C13" s="5" t="s">
        <v>88</v>
      </c>
      <c r="D13" s="4">
        <v>432.51</v>
      </c>
      <c r="F13" s="8" t="s">
        <v>91</v>
      </c>
      <c r="G13" s="7">
        <f>COUNTIF($C$9:$C$73,F13)</f>
        <v>7</v>
      </c>
      <c r="H13" s="6">
        <f>SUMIF($C$9:$C$73,F13,$D$9:$D$73)</f>
        <v>1743.21</v>
      </c>
      <c r="I13" s="6">
        <f>AVERAGEIF($C$9:$C$73,F13,$D$9:$D$73)</f>
        <v>249.03</v>
      </c>
    </row>
    <row r="14" spans="2:9" x14ac:dyDescent="0.3">
      <c r="B14" s="5">
        <v>7911</v>
      </c>
      <c r="C14" s="5" t="s">
        <v>89</v>
      </c>
      <c r="D14" s="4">
        <v>235.62</v>
      </c>
    </row>
    <row r="15" spans="2:9" x14ac:dyDescent="0.3">
      <c r="B15" s="5">
        <v>7912</v>
      </c>
      <c r="C15" s="5" t="s">
        <v>91</v>
      </c>
      <c r="D15" s="4">
        <v>236.81</v>
      </c>
    </row>
    <row r="16" spans="2:9" x14ac:dyDescent="0.3">
      <c r="B16" s="5">
        <v>7913</v>
      </c>
      <c r="C16" s="5" t="s">
        <v>91</v>
      </c>
      <c r="D16" s="4">
        <v>164.81</v>
      </c>
    </row>
    <row r="17" spans="2:4" x14ac:dyDescent="0.3">
      <c r="B17" s="5">
        <v>7914</v>
      </c>
      <c r="C17" s="5" t="s">
        <v>89</v>
      </c>
      <c r="D17" s="4">
        <v>305.82</v>
      </c>
    </row>
    <row r="18" spans="2:4" x14ac:dyDescent="0.3">
      <c r="B18" s="5">
        <v>7915</v>
      </c>
      <c r="C18" s="5" t="s">
        <v>87</v>
      </c>
      <c r="D18" s="4">
        <v>448.15</v>
      </c>
    </row>
    <row r="19" spans="2:4" x14ac:dyDescent="0.3">
      <c r="B19" s="5">
        <v>7916</v>
      </c>
      <c r="C19" s="5" t="s">
        <v>88</v>
      </c>
      <c r="D19" s="4">
        <v>136.34</v>
      </c>
    </row>
    <row r="20" spans="2:4" x14ac:dyDescent="0.3">
      <c r="B20" s="5">
        <v>7917</v>
      </c>
      <c r="C20" s="5" t="s">
        <v>88</v>
      </c>
      <c r="D20" s="4">
        <v>129.76</v>
      </c>
    </row>
    <row r="21" spans="2:4" x14ac:dyDescent="0.3">
      <c r="B21" s="5">
        <v>7918</v>
      </c>
      <c r="C21" s="5" t="s">
        <v>91</v>
      </c>
      <c r="D21" s="4">
        <v>263.60000000000002</v>
      </c>
    </row>
    <row r="22" spans="2:4" x14ac:dyDescent="0.3">
      <c r="B22" s="5">
        <v>7919</v>
      </c>
      <c r="C22" s="5" t="s">
        <v>88</v>
      </c>
      <c r="D22" s="4">
        <v>309.08999999999997</v>
      </c>
    </row>
    <row r="23" spans="2:4" x14ac:dyDescent="0.3">
      <c r="B23" s="5">
        <v>7920</v>
      </c>
      <c r="C23" s="5" t="s">
        <v>87</v>
      </c>
      <c r="D23" s="4">
        <v>191.36</v>
      </c>
    </row>
    <row r="24" spans="2:4" x14ac:dyDescent="0.3">
      <c r="B24" s="5">
        <v>7921</v>
      </c>
      <c r="C24" s="5" t="s">
        <v>89</v>
      </c>
      <c r="D24" s="4">
        <v>467.26</v>
      </c>
    </row>
    <row r="25" spans="2:4" x14ac:dyDescent="0.3">
      <c r="B25" s="5">
        <v>7922</v>
      </c>
      <c r="C25" s="5" t="s">
        <v>87</v>
      </c>
      <c r="D25" s="4">
        <v>280.29000000000002</v>
      </c>
    </row>
    <row r="26" spans="2:4" x14ac:dyDescent="0.3">
      <c r="B26" s="5">
        <v>7923</v>
      </c>
      <c r="C26" s="5" t="s">
        <v>87</v>
      </c>
      <c r="D26" s="4">
        <v>194.67</v>
      </c>
    </row>
    <row r="27" spans="2:4" x14ac:dyDescent="0.3">
      <c r="B27" s="5">
        <v>7924</v>
      </c>
      <c r="C27" s="5" t="s">
        <v>88</v>
      </c>
      <c r="D27" s="4">
        <v>423.07</v>
      </c>
    </row>
    <row r="28" spans="2:4" x14ac:dyDescent="0.3">
      <c r="B28" s="5">
        <v>7925</v>
      </c>
      <c r="C28" s="5" t="s">
        <v>91</v>
      </c>
      <c r="D28" s="4">
        <v>257.79000000000002</v>
      </c>
    </row>
    <row r="29" spans="2:4" x14ac:dyDescent="0.3">
      <c r="B29" s="5">
        <v>7926</v>
      </c>
      <c r="C29" s="5" t="s">
        <v>87</v>
      </c>
      <c r="D29" s="4">
        <v>429.84</v>
      </c>
    </row>
    <row r="30" spans="2:4" x14ac:dyDescent="0.3">
      <c r="B30" s="5">
        <v>7927</v>
      </c>
      <c r="C30" s="5" t="s">
        <v>89</v>
      </c>
      <c r="D30" s="4">
        <v>272.56</v>
      </c>
    </row>
    <row r="31" spans="2:4" x14ac:dyDescent="0.3">
      <c r="B31" s="5">
        <v>7928</v>
      </c>
      <c r="C31" s="5" t="s">
        <v>88</v>
      </c>
      <c r="D31" s="4">
        <v>293.93</v>
      </c>
    </row>
    <row r="32" spans="2:4" x14ac:dyDescent="0.3">
      <c r="B32" s="5">
        <v>7929</v>
      </c>
      <c r="C32" s="5" t="s">
        <v>90</v>
      </c>
      <c r="D32" s="4">
        <v>265.3</v>
      </c>
    </row>
    <row r="33" spans="2:4" x14ac:dyDescent="0.3">
      <c r="B33" s="5">
        <v>7930</v>
      </c>
      <c r="C33" s="5" t="s">
        <v>87</v>
      </c>
      <c r="D33" s="4">
        <v>228.37</v>
      </c>
    </row>
    <row r="34" spans="2:4" x14ac:dyDescent="0.3">
      <c r="B34" s="5">
        <v>7931</v>
      </c>
      <c r="C34" s="5" t="s">
        <v>87</v>
      </c>
      <c r="D34" s="4">
        <v>239.64</v>
      </c>
    </row>
    <row r="35" spans="2:4" x14ac:dyDescent="0.3">
      <c r="B35" s="5">
        <v>7932</v>
      </c>
      <c r="C35" s="5" t="s">
        <v>87</v>
      </c>
      <c r="D35" s="4">
        <v>137.16</v>
      </c>
    </row>
    <row r="36" spans="2:4" x14ac:dyDescent="0.3">
      <c r="B36" s="5">
        <v>7933</v>
      </c>
      <c r="C36" s="5" t="s">
        <v>87</v>
      </c>
      <c r="D36" s="4">
        <v>211.38</v>
      </c>
    </row>
    <row r="37" spans="2:4" x14ac:dyDescent="0.3">
      <c r="B37" s="5">
        <v>7934</v>
      </c>
      <c r="C37" s="5" t="s">
        <v>87</v>
      </c>
      <c r="D37" s="4">
        <v>383.46</v>
      </c>
    </row>
    <row r="38" spans="2:4" x14ac:dyDescent="0.3">
      <c r="B38" s="5">
        <v>7935</v>
      </c>
      <c r="C38" s="5" t="s">
        <v>90</v>
      </c>
      <c r="D38" s="4">
        <v>352.01</v>
      </c>
    </row>
    <row r="39" spans="2:4" x14ac:dyDescent="0.3">
      <c r="B39" s="5">
        <v>7936</v>
      </c>
      <c r="C39" s="5" t="s">
        <v>89</v>
      </c>
      <c r="D39" s="4">
        <v>274.10000000000002</v>
      </c>
    </row>
    <row r="40" spans="2:4" x14ac:dyDescent="0.3">
      <c r="B40" s="5">
        <v>7937</v>
      </c>
      <c r="C40" s="5" t="s">
        <v>90</v>
      </c>
      <c r="D40" s="4">
        <v>321.83</v>
      </c>
    </row>
    <row r="41" spans="2:4" x14ac:dyDescent="0.3">
      <c r="B41" s="5">
        <v>7938</v>
      </c>
      <c r="C41" s="5" t="s">
        <v>89</v>
      </c>
      <c r="D41" s="4">
        <v>259.94</v>
      </c>
    </row>
    <row r="42" spans="2:4" x14ac:dyDescent="0.3">
      <c r="B42" s="5">
        <v>7939</v>
      </c>
      <c r="C42" s="5" t="s">
        <v>88</v>
      </c>
      <c r="D42" s="4">
        <v>403.84</v>
      </c>
    </row>
    <row r="43" spans="2:4" x14ac:dyDescent="0.3">
      <c r="B43" s="5">
        <v>7940</v>
      </c>
      <c r="C43" s="5" t="s">
        <v>91</v>
      </c>
      <c r="D43" s="4">
        <v>201.06</v>
      </c>
    </row>
    <row r="44" spans="2:4" x14ac:dyDescent="0.3">
      <c r="B44" s="5">
        <v>7941</v>
      </c>
      <c r="C44" s="5" t="s">
        <v>88</v>
      </c>
      <c r="D44" s="4">
        <v>121.43</v>
      </c>
    </row>
    <row r="45" spans="2:4" x14ac:dyDescent="0.3">
      <c r="B45" s="5">
        <v>7942</v>
      </c>
      <c r="C45" s="5" t="s">
        <v>89</v>
      </c>
      <c r="D45" s="4">
        <v>293.67</v>
      </c>
    </row>
    <row r="46" spans="2:4" x14ac:dyDescent="0.3">
      <c r="B46" s="5">
        <v>7943</v>
      </c>
      <c r="C46" s="5" t="s">
        <v>88</v>
      </c>
      <c r="D46" s="4">
        <v>411.83</v>
      </c>
    </row>
    <row r="47" spans="2:4" x14ac:dyDescent="0.3">
      <c r="B47" s="5">
        <v>7944</v>
      </c>
      <c r="C47" s="5" t="s">
        <v>91</v>
      </c>
      <c r="D47" s="4">
        <v>209.97</v>
      </c>
    </row>
    <row r="48" spans="2:4" x14ac:dyDescent="0.3">
      <c r="B48" s="5">
        <v>7945</v>
      </c>
      <c r="C48" s="5" t="s">
        <v>90</v>
      </c>
      <c r="D48" s="4">
        <v>112.13</v>
      </c>
    </row>
    <row r="49" spans="2:4" x14ac:dyDescent="0.3">
      <c r="B49" s="5">
        <v>7946</v>
      </c>
      <c r="C49" s="5" t="s">
        <v>89</v>
      </c>
      <c r="D49" s="4">
        <v>494.43</v>
      </c>
    </row>
    <row r="50" spans="2:4" x14ac:dyDescent="0.3">
      <c r="B50" s="5">
        <v>7947</v>
      </c>
      <c r="C50" s="5" t="s">
        <v>87</v>
      </c>
      <c r="D50" s="4">
        <v>227.89</v>
      </c>
    </row>
    <row r="51" spans="2:4" x14ac:dyDescent="0.3">
      <c r="B51" s="5">
        <v>7948</v>
      </c>
      <c r="C51" s="5" t="s">
        <v>90</v>
      </c>
      <c r="D51" s="4">
        <v>169.99</v>
      </c>
    </row>
    <row r="52" spans="2:4" x14ac:dyDescent="0.3">
      <c r="B52" s="5">
        <v>7949</v>
      </c>
      <c r="C52" s="5" t="s">
        <v>87</v>
      </c>
      <c r="D52" s="4">
        <v>130.88</v>
      </c>
    </row>
    <row r="53" spans="2:4" x14ac:dyDescent="0.3">
      <c r="B53" s="5">
        <v>7950</v>
      </c>
      <c r="C53" s="5" t="s">
        <v>90</v>
      </c>
      <c r="D53" s="4">
        <v>341.73</v>
      </c>
    </row>
    <row r="54" spans="2:4" x14ac:dyDescent="0.3">
      <c r="B54" s="5">
        <v>7951</v>
      </c>
      <c r="C54" s="5" t="s">
        <v>90</v>
      </c>
      <c r="D54" s="4">
        <v>143.63999999999999</v>
      </c>
    </row>
    <row r="55" spans="2:4" x14ac:dyDescent="0.3">
      <c r="B55" s="5">
        <v>7952</v>
      </c>
      <c r="C55" s="5" t="s">
        <v>90</v>
      </c>
      <c r="D55" s="4">
        <v>336.85</v>
      </c>
    </row>
    <row r="56" spans="2:4" x14ac:dyDescent="0.3">
      <c r="B56" s="5">
        <v>7953</v>
      </c>
      <c r="C56" s="5" t="s">
        <v>90</v>
      </c>
      <c r="D56" s="4">
        <v>159.63</v>
      </c>
    </row>
    <row r="57" spans="2:4" x14ac:dyDescent="0.3">
      <c r="B57" s="5">
        <v>7954</v>
      </c>
      <c r="C57" s="5" t="s">
        <v>89</v>
      </c>
      <c r="D57" s="4">
        <v>489.54</v>
      </c>
    </row>
    <row r="58" spans="2:4" x14ac:dyDescent="0.3">
      <c r="B58" s="5">
        <v>7955</v>
      </c>
      <c r="C58" s="5" t="s">
        <v>87</v>
      </c>
      <c r="D58" s="4">
        <v>355.35</v>
      </c>
    </row>
    <row r="59" spans="2:4" x14ac:dyDescent="0.3">
      <c r="B59" s="5">
        <v>7956</v>
      </c>
      <c r="C59" s="5" t="s">
        <v>87</v>
      </c>
      <c r="D59" s="4">
        <v>427.85</v>
      </c>
    </row>
    <row r="60" spans="2:4" x14ac:dyDescent="0.3">
      <c r="B60" s="5">
        <v>7957</v>
      </c>
      <c r="C60" s="5" t="s">
        <v>88</v>
      </c>
      <c r="D60" s="4">
        <v>199.52</v>
      </c>
    </row>
    <row r="61" spans="2:4" x14ac:dyDescent="0.3">
      <c r="B61" s="5">
        <v>7958</v>
      </c>
      <c r="C61" s="5" t="s">
        <v>87</v>
      </c>
      <c r="D61" s="4">
        <v>392.87</v>
      </c>
    </row>
    <row r="62" spans="2:4" x14ac:dyDescent="0.3">
      <c r="B62" s="5">
        <v>7959</v>
      </c>
      <c r="C62" s="5" t="s">
        <v>88</v>
      </c>
      <c r="D62" s="4">
        <v>259.26</v>
      </c>
    </row>
    <row r="63" spans="2:4" x14ac:dyDescent="0.3">
      <c r="B63" s="5">
        <v>7960</v>
      </c>
      <c r="C63" s="5" t="s">
        <v>91</v>
      </c>
      <c r="D63" s="4">
        <v>409.17</v>
      </c>
    </row>
    <row r="64" spans="2:4" x14ac:dyDescent="0.3">
      <c r="B64" s="5">
        <v>7961</v>
      </c>
      <c r="C64" s="5" t="s">
        <v>89</v>
      </c>
      <c r="D64" s="4">
        <v>281.10000000000002</v>
      </c>
    </row>
    <row r="65" spans="2:4" x14ac:dyDescent="0.3">
      <c r="B65" s="5">
        <v>7962</v>
      </c>
      <c r="C65" s="5" t="s">
        <v>89</v>
      </c>
      <c r="D65" s="4">
        <v>445.05</v>
      </c>
    </row>
    <row r="66" spans="2:4" x14ac:dyDescent="0.3">
      <c r="B66" s="5">
        <v>7963</v>
      </c>
      <c r="C66" s="5" t="s">
        <v>90</v>
      </c>
      <c r="D66" s="4">
        <v>350.26</v>
      </c>
    </row>
    <row r="67" spans="2:4" x14ac:dyDescent="0.3">
      <c r="B67" s="5">
        <v>7964</v>
      </c>
      <c r="C67" s="5" t="s">
        <v>87</v>
      </c>
      <c r="D67" s="4">
        <v>450.12</v>
      </c>
    </row>
    <row r="68" spans="2:4" x14ac:dyDescent="0.3">
      <c r="B68" s="5">
        <v>7965</v>
      </c>
      <c r="C68" s="5" t="s">
        <v>88</v>
      </c>
      <c r="D68" s="4">
        <v>253.37</v>
      </c>
    </row>
    <row r="69" spans="2:4" x14ac:dyDescent="0.3">
      <c r="B69" s="5">
        <v>7966</v>
      </c>
      <c r="C69" s="5" t="s">
        <v>90</v>
      </c>
      <c r="D69" s="4">
        <v>324.77</v>
      </c>
    </row>
    <row r="70" spans="2:4" x14ac:dyDescent="0.3">
      <c r="B70" s="5">
        <v>7967</v>
      </c>
      <c r="C70" s="5" t="s">
        <v>90</v>
      </c>
      <c r="D70" s="4">
        <v>471.13</v>
      </c>
    </row>
    <row r="71" spans="2:4" x14ac:dyDescent="0.3">
      <c r="B71" s="5">
        <v>7968</v>
      </c>
      <c r="C71" s="5" t="s">
        <v>90</v>
      </c>
      <c r="D71" s="4">
        <v>293.64</v>
      </c>
    </row>
    <row r="72" spans="2:4" x14ac:dyDescent="0.3">
      <c r="B72" s="5">
        <v>7969</v>
      </c>
      <c r="C72" s="5" t="s">
        <v>87</v>
      </c>
      <c r="D72" s="4">
        <v>421.59</v>
      </c>
    </row>
    <row r="73" spans="2:4" x14ac:dyDescent="0.3">
      <c r="B73" s="5">
        <v>7970</v>
      </c>
      <c r="C73" s="5" t="s">
        <v>87</v>
      </c>
      <c r="D73" s="4">
        <v>393.56</v>
      </c>
    </row>
  </sheetData>
  <mergeCells count="3">
    <mergeCell ref="B2:I5"/>
    <mergeCell ref="B7:D7"/>
    <mergeCell ref="F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13AA-4C9F-4B72-87DB-3321CDD5A523}">
  <dimension ref="B1:N63"/>
  <sheetViews>
    <sheetView workbookViewId="0">
      <selection activeCell="B2" sqref="B2:M8"/>
    </sheetView>
  </sheetViews>
  <sheetFormatPr defaultRowHeight="14.4" x14ac:dyDescent="0.3"/>
  <cols>
    <col min="2" max="2" width="11.44140625" bestFit="1" customWidth="1"/>
    <col min="3" max="3" width="11.6640625" bestFit="1" customWidth="1"/>
    <col min="4" max="4" width="13.5546875" customWidth="1"/>
    <col min="5" max="5" width="12.33203125" bestFit="1" customWidth="1"/>
    <col min="6" max="6" width="14.5546875" bestFit="1" customWidth="1"/>
    <col min="7" max="7" width="15.33203125" bestFit="1" customWidth="1"/>
    <col min="8" max="8" width="9.44140625" bestFit="1" customWidth="1"/>
    <col min="9" max="9" width="9.44140625" customWidth="1"/>
    <col min="10" max="10" width="10.109375" bestFit="1" customWidth="1"/>
    <col min="11" max="11" width="9.77734375" bestFit="1" customWidth="1"/>
    <col min="12" max="12" width="15.88671875" bestFit="1" customWidth="1"/>
    <col min="13" max="13" width="13.5546875" bestFit="1" customWidth="1"/>
  </cols>
  <sheetData>
    <row r="1" spans="2:14" ht="15" thickBot="1" x14ac:dyDescent="0.35"/>
    <row r="2" spans="2:14" ht="15" customHeight="1" x14ac:dyDescent="0.3">
      <c r="B2" s="176" t="s">
        <v>92</v>
      </c>
      <c r="C2" s="177"/>
      <c r="D2" s="177"/>
      <c r="E2" s="177"/>
      <c r="F2" s="177"/>
      <c r="G2" s="177"/>
      <c r="H2" s="177"/>
      <c r="I2" s="177"/>
      <c r="J2" s="177"/>
      <c r="K2" s="177"/>
      <c r="L2" s="177"/>
      <c r="M2" s="178"/>
    </row>
    <row r="3" spans="2:14" x14ac:dyDescent="0.3">
      <c r="B3" s="179"/>
      <c r="C3" s="180"/>
      <c r="D3" s="180"/>
      <c r="E3" s="180"/>
      <c r="F3" s="180"/>
      <c r="G3" s="180"/>
      <c r="H3" s="180"/>
      <c r="I3" s="180"/>
      <c r="J3" s="180"/>
      <c r="K3" s="180"/>
      <c r="L3" s="180"/>
      <c r="M3" s="181"/>
    </row>
    <row r="4" spans="2:14" x14ac:dyDescent="0.3">
      <c r="B4" s="179"/>
      <c r="C4" s="180"/>
      <c r="D4" s="180"/>
      <c r="E4" s="180"/>
      <c r="F4" s="180"/>
      <c r="G4" s="180"/>
      <c r="H4" s="180"/>
      <c r="I4" s="180"/>
      <c r="J4" s="180"/>
      <c r="K4" s="180"/>
      <c r="L4" s="180"/>
      <c r="M4" s="181"/>
    </row>
    <row r="5" spans="2:14" x14ac:dyDescent="0.3">
      <c r="B5" s="179"/>
      <c r="C5" s="180"/>
      <c r="D5" s="180"/>
      <c r="E5" s="180"/>
      <c r="F5" s="180"/>
      <c r="G5" s="180"/>
      <c r="H5" s="180"/>
      <c r="I5" s="180"/>
      <c r="J5" s="180"/>
      <c r="K5" s="180"/>
      <c r="L5" s="180"/>
      <c r="M5" s="181"/>
    </row>
    <row r="6" spans="2:14" x14ac:dyDescent="0.3">
      <c r="B6" s="179"/>
      <c r="C6" s="180"/>
      <c r="D6" s="180"/>
      <c r="E6" s="180"/>
      <c r="F6" s="180"/>
      <c r="G6" s="180"/>
      <c r="H6" s="180"/>
      <c r="I6" s="180"/>
      <c r="J6" s="180"/>
      <c r="K6" s="180"/>
      <c r="L6" s="180"/>
      <c r="M6" s="181"/>
    </row>
    <row r="7" spans="2:14" x14ac:dyDescent="0.3">
      <c r="B7" s="179"/>
      <c r="C7" s="180"/>
      <c r="D7" s="180"/>
      <c r="E7" s="180"/>
      <c r="F7" s="180"/>
      <c r="G7" s="180"/>
      <c r="H7" s="180"/>
      <c r="I7" s="180"/>
      <c r="J7" s="180"/>
      <c r="K7" s="180"/>
      <c r="L7" s="180"/>
      <c r="M7" s="181"/>
    </row>
    <row r="8" spans="2:14" ht="15" thickBot="1" x14ac:dyDescent="0.35">
      <c r="B8" s="182"/>
      <c r="C8" s="183"/>
      <c r="D8" s="183"/>
      <c r="E8" s="183"/>
      <c r="F8" s="183"/>
      <c r="G8" s="183"/>
      <c r="H8" s="183"/>
      <c r="I8" s="183"/>
      <c r="J8" s="183"/>
      <c r="K8" s="183"/>
      <c r="L8" s="183"/>
      <c r="M8" s="184"/>
      <c r="N8" s="140"/>
    </row>
    <row r="9" spans="2:14" ht="15" customHeight="1" x14ac:dyDescent="0.3">
      <c r="D9" s="1" t="s">
        <v>93</v>
      </c>
      <c r="F9" s="2">
        <v>650</v>
      </c>
    </row>
    <row r="10" spans="2:14" ht="15" customHeight="1" x14ac:dyDescent="0.3"/>
    <row r="11" spans="2:14" x14ac:dyDescent="0.3">
      <c r="B11" s="56" t="s">
        <v>94</v>
      </c>
      <c r="C11" s="56" t="s">
        <v>95</v>
      </c>
      <c r="D11" s="56" t="s">
        <v>96</v>
      </c>
      <c r="E11" s="56" t="s">
        <v>97</v>
      </c>
      <c r="F11" s="56" t="s">
        <v>98</v>
      </c>
      <c r="G11" s="56" t="s">
        <v>99</v>
      </c>
      <c r="H11" s="56" t="s">
        <v>100</v>
      </c>
      <c r="I11" s="56" t="s">
        <v>101</v>
      </c>
      <c r="J11" s="56" t="s">
        <v>102</v>
      </c>
      <c r="K11" s="56" t="s">
        <v>103</v>
      </c>
      <c r="L11" s="56" t="s">
        <v>104</v>
      </c>
      <c r="M11" s="56" t="s">
        <v>105</v>
      </c>
    </row>
    <row r="12" spans="2:14" x14ac:dyDescent="0.3">
      <c r="B12" s="5" t="s">
        <v>106</v>
      </c>
      <c r="C12" s="5">
        <v>658</v>
      </c>
      <c r="D12" s="55">
        <v>337000</v>
      </c>
      <c r="E12" s="54">
        <v>0.37</v>
      </c>
      <c r="F12" s="53">
        <v>47000</v>
      </c>
      <c r="G12" s="53" t="s">
        <v>107</v>
      </c>
      <c r="H12" s="5" t="s">
        <v>108</v>
      </c>
      <c r="I12" s="52" t="str">
        <f t="shared" ref="I12:I41" si="0">IF(E12&lt;0.43,"Yes","No")</f>
        <v>Yes</v>
      </c>
      <c r="J12" s="52" t="str">
        <f t="shared" ref="J12:J41" si="1">IF(C12&gt;=F$9,"Yes","No")</f>
        <v>Yes</v>
      </c>
      <c r="K12" s="52" t="str">
        <f t="shared" ref="K12:K41" si="2">IF(F12&gt;D12*0.1,"Yes", IF(AND(F12&gt;D12*0.05,E12&lt;0.4),"Yes","No"))</f>
        <v>Yes</v>
      </c>
      <c r="L12" s="52" t="str">
        <f t="shared" ref="L12:L41" si="3">IF(OR(G12="Yes",H12="Yes"),"Yes","Suggest AutoPay")</f>
        <v>Yes</v>
      </c>
      <c r="M12" s="52" t="str">
        <f t="shared" ref="M12:M41" si="4">IF(AND(I12="Yes",J12="Yes",K12="Yes"),"Yes", IF(I12="No","Loan too large",IF(J12="No","Score too low", "Down too low")))</f>
        <v>Yes</v>
      </c>
    </row>
    <row r="13" spans="2:14" x14ac:dyDescent="0.3">
      <c r="B13" s="5" t="s">
        <v>109</v>
      </c>
      <c r="C13" s="5">
        <v>693</v>
      </c>
      <c r="D13" s="55">
        <v>256300</v>
      </c>
      <c r="E13" s="54">
        <v>0.43</v>
      </c>
      <c r="F13" s="53">
        <v>25000</v>
      </c>
      <c r="G13" s="53" t="s">
        <v>108</v>
      </c>
      <c r="H13" s="5" t="s">
        <v>108</v>
      </c>
      <c r="I13" s="52" t="str">
        <f t="shared" si="0"/>
        <v>No</v>
      </c>
      <c r="J13" s="52" t="str">
        <f t="shared" si="1"/>
        <v>Yes</v>
      </c>
      <c r="K13" s="52" t="str">
        <f t="shared" si="2"/>
        <v>No</v>
      </c>
      <c r="L13" s="52" t="str">
        <f t="shared" si="3"/>
        <v>Suggest AutoPay</v>
      </c>
      <c r="M13" s="52" t="str">
        <f t="shared" si="4"/>
        <v>Loan too large</v>
      </c>
    </row>
    <row r="14" spans="2:14" ht="15" customHeight="1" x14ac:dyDescent="0.3">
      <c r="B14" s="5" t="s">
        <v>110</v>
      </c>
      <c r="C14" s="5">
        <v>689</v>
      </c>
      <c r="D14" s="55">
        <v>392700</v>
      </c>
      <c r="E14" s="54">
        <v>0.37</v>
      </c>
      <c r="F14" s="53">
        <v>43000</v>
      </c>
      <c r="G14" s="53" t="s">
        <v>108</v>
      </c>
      <c r="H14" s="5" t="s">
        <v>107</v>
      </c>
      <c r="I14" s="52" t="str">
        <f t="shared" si="0"/>
        <v>Yes</v>
      </c>
      <c r="J14" s="52" t="str">
        <f t="shared" si="1"/>
        <v>Yes</v>
      </c>
      <c r="K14" s="52" t="str">
        <f t="shared" si="2"/>
        <v>Yes</v>
      </c>
      <c r="L14" s="52" t="str">
        <f t="shared" si="3"/>
        <v>Yes</v>
      </c>
      <c r="M14" s="52" t="str">
        <f t="shared" si="4"/>
        <v>Yes</v>
      </c>
    </row>
    <row r="15" spans="2:14" x14ac:dyDescent="0.3">
      <c r="B15" s="5" t="s">
        <v>111</v>
      </c>
      <c r="C15" s="5">
        <v>697</v>
      </c>
      <c r="D15" s="55">
        <v>278600</v>
      </c>
      <c r="E15" s="54">
        <v>0.43</v>
      </c>
      <c r="F15" s="53">
        <v>27000</v>
      </c>
      <c r="G15" s="53" t="s">
        <v>107</v>
      </c>
      <c r="H15" s="5" t="s">
        <v>107</v>
      </c>
      <c r="I15" s="52" t="str">
        <f t="shared" si="0"/>
        <v>No</v>
      </c>
      <c r="J15" s="52" t="str">
        <f t="shared" si="1"/>
        <v>Yes</v>
      </c>
      <c r="K15" s="52" t="str">
        <f t="shared" si="2"/>
        <v>No</v>
      </c>
      <c r="L15" s="52" t="str">
        <f t="shared" si="3"/>
        <v>Yes</v>
      </c>
      <c r="M15" s="52" t="str">
        <f t="shared" si="4"/>
        <v>Loan too large</v>
      </c>
    </row>
    <row r="16" spans="2:14" x14ac:dyDescent="0.3">
      <c r="B16" s="5" t="s">
        <v>112</v>
      </c>
      <c r="C16" s="5">
        <v>718</v>
      </c>
      <c r="D16" s="55">
        <v>347100</v>
      </c>
      <c r="E16" s="54">
        <v>0.37</v>
      </c>
      <c r="F16" s="53">
        <v>45000</v>
      </c>
      <c r="G16" s="53" t="s">
        <v>107</v>
      </c>
      <c r="H16" s="5" t="s">
        <v>108</v>
      </c>
      <c r="I16" s="52" t="str">
        <f t="shared" si="0"/>
        <v>Yes</v>
      </c>
      <c r="J16" s="52" t="str">
        <f t="shared" si="1"/>
        <v>Yes</v>
      </c>
      <c r="K16" s="52" t="str">
        <f t="shared" si="2"/>
        <v>Yes</v>
      </c>
      <c r="L16" s="52" t="str">
        <f t="shared" si="3"/>
        <v>Yes</v>
      </c>
      <c r="M16" s="52" t="str">
        <f t="shared" si="4"/>
        <v>Yes</v>
      </c>
    </row>
    <row r="17" spans="2:13" x14ac:dyDescent="0.3">
      <c r="B17" s="5" t="s">
        <v>113</v>
      </c>
      <c r="C17" s="5">
        <v>581</v>
      </c>
      <c r="D17" s="55">
        <v>297900</v>
      </c>
      <c r="E17" s="54">
        <v>0.35</v>
      </c>
      <c r="F17" s="53">
        <v>14000</v>
      </c>
      <c r="G17" s="53" t="s">
        <v>108</v>
      </c>
      <c r="H17" s="5" t="s">
        <v>107</v>
      </c>
      <c r="I17" s="52" t="str">
        <f t="shared" si="0"/>
        <v>Yes</v>
      </c>
      <c r="J17" s="52" t="str">
        <f t="shared" si="1"/>
        <v>No</v>
      </c>
      <c r="K17" s="52" t="str">
        <f t="shared" si="2"/>
        <v>No</v>
      </c>
      <c r="L17" s="52" t="str">
        <f t="shared" si="3"/>
        <v>Yes</v>
      </c>
      <c r="M17" s="52" t="str">
        <f t="shared" si="4"/>
        <v>Score too low</v>
      </c>
    </row>
    <row r="18" spans="2:13" x14ac:dyDescent="0.3">
      <c r="B18" s="5" t="s">
        <v>114</v>
      </c>
      <c r="C18" s="5">
        <v>704</v>
      </c>
      <c r="D18" s="55">
        <v>281700</v>
      </c>
      <c r="E18" s="54">
        <v>0.36</v>
      </c>
      <c r="F18" s="53">
        <v>30000</v>
      </c>
      <c r="G18" s="53" t="s">
        <v>107</v>
      </c>
      <c r="H18" s="5" t="s">
        <v>108</v>
      </c>
      <c r="I18" s="52" t="str">
        <f t="shared" si="0"/>
        <v>Yes</v>
      </c>
      <c r="J18" s="52" t="str">
        <f t="shared" si="1"/>
        <v>Yes</v>
      </c>
      <c r="K18" s="52" t="str">
        <f t="shared" si="2"/>
        <v>Yes</v>
      </c>
      <c r="L18" s="52" t="str">
        <f t="shared" si="3"/>
        <v>Yes</v>
      </c>
      <c r="M18" s="52" t="str">
        <f t="shared" si="4"/>
        <v>Yes</v>
      </c>
    </row>
    <row r="19" spans="2:13" x14ac:dyDescent="0.3">
      <c r="B19" s="5" t="s">
        <v>115</v>
      </c>
      <c r="C19" s="5">
        <v>662</v>
      </c>
      <c r="D19" s="55">
        <v>369700</v>
      </c>
      <c r="E19" s="54">
        <v>0.38</v>
      </c>
      <c r="F19" s="53">
        <v>36000</v>
      </c>
      <c r="G19" s="53" t="s">
        <v>108</v>
      </c>
      <c r="H19" s="5" t="s">
        <v>107</v>
      </c>
      <c r="I19" s="52" t="str">
        <f t="shared" si="0"/>
        <v>Yes</v>
      </c>
      <c r="J19" s="52" t="str">
        <f t="shared" si="1"/>
        <v>Yes</v>
      </c>
      <c r="K19" s="52" t="str">
        <f t="shared" si="2"/>
        <v>Yes</v>
      </c>
      <c r="L19" s="52" t="str">
        <f t="shared" si="3"/>
        <v>Yes</v>
      </c>
      <c r="M19" s="52" t="str">
        <f t="shared" si="4"/>
        <v>Yes</v>
      </c>
    </row>
    <row r="20" spans="2:13" x14ac:dyDescent="0.3">
      <c r="B20" s="5" t="s">
        <v>116</v>
      </c>
      <c r="C20" s="5">
        <v>567</v>
      </c>
      <c r="D20" s="55">
        <v>302600</v>
      </c>
      <c r="E20" s="54">
        <v>0.41</v>
      </c>
      <c r="F20" s="53">
        <v>51000</v>
      </c>
      <c r="G20" s="53" t="s">
        <v>107</v>
      </c>
      <c r="H20" s="5" t="s">
        <v>107</v>
      </c>
      <c r="I20" s="52" t="str">
        <f t="shared" si="0"/>
        <v>Yes</v>
      </c>
      <c r="J20" s="52" t="str">
        <f t="shared" si="1"/>
        <v>No</v>
      </c>
      <c r="K20" s="52" t="str">
        <f t="shared" si="2"/>
        <v>Yes</v>
      </c>
      <c r="L20" s="52" t="str">
        <f t="shared" si="3"/>
        <v>Yes</v>
      </c>
      <c r="M20" s="52" t="str">
        <f t="shared" si="4"/>
        <v>Score too low</v>
      </c>
    </row>
    <row r="21" spans="2:13" x14ac:dyDescent="0.3">
      <c r="B21" s="5" t="s">
        <v>117</v>
      </c>
      <c r="C21" s="5">
        <v>642</v>
      </c>
      <c r="D21" s="55">
        <v>212200</v>
      </c>
      <c r="E21" s="54">
        <v>0.37</v>
      </c>
      <c r="F21" s="53">
        <v>14000</v>
      </c>
      <c r="G21" s="53" t="s">
        <v>107</v>
      </c>
      <c r="H21" s="5" t="s">
        <v>108</v>
      </c>
      <c r="I21" s="52" t="str">
        <f t="shared" si="0"/>
        <v>Yes</v>
      </c>
      <c r="J21" s="52" t="str">
        <f t="shared" si="1"/>
        <v>No</v>
      </c>
      <c r="K21" s="52" t="str">
        <f t="shared" si="2"/>
        <v>Yes</v>
      </c>
      <c r="L21" s="52" t="str">
        <f t="shared" si="3"/>
        <v>Yes</v>
      </c>
      <c r="M21" s="52" t="str">
        <f t="shared" si="4"/>
        <v>Score too low</v>
      </c>
    </row>
    <row r="22" spans="2:13" x14ac:dyDescent="0.3">
      <c r="B22" s="5" t="s">
        <v>118</v>
      </c>
      <c r="C22" s="5">
        <v>633</v>
      </c>
      <c r="D22" s="55">
        <v>237700</v>
      </c>
      <c r="E22" s="54">
        <v>0.43</v>
      </c>
      <c r="F22" s="53">
        <v>20000</v>
      </c>
      <c r="G22" s="53" t="s">
        <v>108</v>
      </c>
      <c r="H22" s="5" t="s">
        <v>108</v>
      </c>
      <c r="I22" s="52" t="str">
        <f t="shared" si="0"/>
        <v>No</v>
      </c>
      <c r="J22" s="52" t="str">
        <f t="shared" si="1"/>
        <v>No</v>
      </c>
      <c r="K22" s="52" t="str">
        <f t="shared" si="2"/>
        <v>No</v>
      </c>
      <c r="L22" s="52" t="str">
        <f t="shared" si="3"/>
        <v>Suggest AutoPay</v>
      </c>
      <c r="M22" s="52" t="str">
        <f t="shared" si="4"/>
        <v>Loan too large</v>
      </c>
    </row>
    <row r="23" spans="2:13" x14ac:dyDescent="0.3">
      <c r="B23" s="5" t="s">
        <v>119</v>
      </c>
      <c r="C23" s="5">
        <v>600</v>
      </c>
      <c r="D23" s="55">
        <v>244600</v>
      </c>
      <c r="E23" s="54">
        <v>0.39</v>
      </c>
      <c r="F23" s="53">
        <v>39000</v>
      </c>
      <c r="G23" s="53" t="s">
        <v>107</v>
      </c>
      <c r="H23" s="5" t="s">
        <v>107</v>
      </c>
      <c r="I23" s="52" t="str">
        <f t="shared" si="0"/>
        <v>Yes</v>
      </c>
      <c r="J23" s="52" t="str">
        <f t="shared" si="1"/>
        <v>No</v>
      </c>
      <c r="K23" s="52" t="str">
        <f t="shared" si="2"/>
        <v>Yes</v>
      </c>
      <c r="L23" s="52" t="str">
        <f t="shared" si="3"/>
        <v>Yes</v>
      </c>
      <c r="M23" s="52" t="str">
        <f t="shared" si="4"/>
        <v>Score too low</v>
      </c>
    </row>
    <row r="24" spans="2:13" x14ac:dyDescent="0.3">
      <c r="B24" s="5" t="s">
        <v>120</v>
      </c>
      <c r="C24" s="5">
        <v>697</v>
      </c>
      <c r="D24" s="55">
        <v>390900</v>
      </c>
      <c r="E24" s="54">
        <v>0.39</v>
      </c>
      <c r="F24" s="53">
        <v>43000</v>
      </c>
      <c r="G24" s="53" t="s">
        <v>108</v>
      </c>
      <c r="H24" s="5" t="s">
        <v>108</v>
      </c>
      <c r="I24" s="52" t="str">
        <f t="shared" si="0"/>
        <v>Yes</v>
      </c>
      <c r="J24" s="52" t="str">
        <f t="shared" si="1"/>
        <v>Yes</v>
      </c>
      <c r="K24" s="52" t="str">
        <f t="shared" si="2"/>
        <v>Yes</v>
      </c>
      <c r="L24" s="52" t="str">
        <f t="shared" si="3"/>
        <v>Suggest AutoPay</v>
      </c>
      <c r="M24" s="52" t="str">
        <f t="shared" si="4"/>
        <v>Yes</v>
      </c>
    </row>
    <row r="25" spans="2:13" x14ac:dyDescent="0.3">
      <c r="B25" s="5" t="s">
        <v>121</v>
      </c>
      <c r="C25" s="5">
        <v>659</v>
      </c>
      <c r="D25" s="55">
        <v>330700</v>
      </c>
      <c r="E25" s="54">
        <v>0.39</v>
      </c>
      <c r="F25" s="53">
        <v>52000</v>
      </c>
      <c r="G25" s="53" t="s">
        <v>107</v>
      </c>
      <c r="H25" s="5" t="s">
        <v>107</v>
      </c>
      <c r="I25" s="52" t="str">
        <f t="shared" si="0"/>
        <v>Yes</v>
      </c>
      <c r="J25" s="52" t="str">
        <f t="shared" si="1"/>
        <v>Yes</v>
      </c>
      <c r="K25" s="52" t="str">
        <f t="shared" si="2"/>
        <v>Yes</v>
      </c>
      <c r="L25" s="52" t="str">
        <f t="shared" si="3"/>
        <v>Yes</v>
      </c>
      <c r="M25" s="52" t="str">
        <f t="shared" si="4"/>
        <v>Yes</v>
      </c>
    </row>
    <row r="26" spans="2:13" x14ac:dyDescent="0.3">
      <c r="B26" s="5" t="s">
        <v>122</v>
      </c>
      <c r="C26" s="5">
        <v>638</v>
      </c>
      <c r="D26" s="55">
        <v>269700</v>
      </c>
      <c r="E26" s="54">
        <v>0.42</v>
      </c>
      <c r="F26" s="53">
        <v>43000</v>
      </c>
      <c r="G26" s="53" t="s">
        <v>107</v>
      </c>
      <c r="H26" s="5" t="s">
        <v>108</v>
      </c>
      <c r="I26" s="52" t="str">
        <f t="shared" si="0"/>
        <v>Yes</v>
      </c>
      <c r="J26" s="52" t="str">
        <f t="shared" si="1"/>
        <v>No</v>
      </c>
      <c r="K26" s="52" t="str">
        <f t="shared" si="2"/>
        <v>Yes</v>
      </c>
      <c r="L26" s="52" t="str">
        <f t="shared" si="3"/>
        <v>Yes</v>
      </c>
      <c r="M26" s="52" t="str">
        <f t="shared" si="4"/>
        <v>Score too low</v>
      </c>
    </row>
    <row r="27" spans="2:13" x14ac:dyDescent="0.3">
      <c r="B27" s="5" t="s">
        <v>123</v>
      </c>
      <c r="C27" s="5">
        <v>636</v>
      </c>
      <c r="D27" s="55">
        <v>284800</v>
      </c>
      <c r="E27" s="54">
        <v>0.38</v>
      </c>
      <c r="F27" s="53">
        <v>31000</v>
      </c>
      <c r="G27" s="53" t="s">
        <v>107</v>
      </c>
      <c r="H27" s="5" t="s">
        <v>108</v>
      </c>
      <c r="I27" s="52" t="str">
        <f t="shared" si="0"/>
        <v>Yes</v>
      </c>
      <c r="J27" s="52" t="str">
        <f t="shared" si="1"/>
        <v>No</v>
      </c>
      <c r="K27" s="52" t="str">
        <f t="shared" si="2"/>
        <v>Yes</v>
      </c>
      <c r="L27" s="52" t="str">
        <f t="shared" si="3"/>
        <v>Yes</v>
      </c>
      <c r="M27" s="52" t="str">
        <f t="shared" si="4"/>
        <v>Score too low</v>
      </c>
    </row>
    <row r="28" spans="2:13" x14ac:dyDescent="0.3">
      <c r="B28" s="5" t="s">
        <v>124</v>
      </c>
      <c r="C28" s="5">
        <v>714</v>
      </c>
      <c r="D28" s="55">
        <v>384200</v>
      </c>
      <c r="E28" s="54">
        <v>0.38</v>
      </c>
      <c r="F28" s="53">
        <v>65000</v>
      </c>
      <c r="G28" s="53" t="s">
        <v>108</v>
      </c>
      <c r="H28" s="5" t="s">
        <v>108</v>
      </c>
      <c r="I28" s="52" t="str">
        <f t="shared" si="0"/>
        <v>Yes</v>
      </c>
      <c r="J28" s="52" t="str">
        <f t="shared" si="1"/>
        <v>Yes</v>
      </c>
      <c r="K28" s="52" t="str">
        <f t="shared" si="2"/>
        <v>Yes</v>
      </c>
      <c r="L28" s="52" t="str">
        <f t="shared" si="3"/>
        <v>Suggest AutoPay</v>
      </c>
      <c r="M28" s="52" t="str">
        <f t="shared" si="4"/>
        <v>Yes</v>
      </c>
    </row>
    <row r="29" spans="2:13" x14ac:dyDescent="0.3">
      <c r="B29" s="5" t="s">
        <v>125</v>
      </c>
      <c r="C29" s="5">
        <v>635</v>
      </c>
      <c r="D29" s="55">
        <v>364500</v>
      </c>
      <c r="E29" s="54">
        <v>0.43</v>
      </c>
      <c r="F29" s="53">
        <v>21000</v>
      </c>
      <c r="G29" s="53" t="s">
        <v>108</v>
      </c>
      <c r="H29" s="5" t="s">
        <v>108</v>
      </c>
      <c r="I29" s="52" t="str">
        <f t="shared" si="0"/>
        <v>No</v>
      </c>
      <c r="J29" s="52" t="str">
        <f t="shared" si="1"/>
        <v>No</v>
      </c>
      <c r="K29" s="52" t="str">
        <f t="shared" si="2"/>
        <v>No</v>
      </c>
      <c r="L29" s="52" t="str">
        <f t="shared" si="3"/>
        <v>Suggest AutoPay</v>
      </c>
      <c r="M29" s="52" t="str">
        <f t="shared" si="4"/>
        <v>Loan too large</v>
      </c>
    </row>
    <row r="30" spans="2:13" x14ac:dyDescent="0.3">
      <c r="B30" s="5" t="s">
        <v>126</v>
      </c>
      <c r="C30" s="5">
        <v>730</v>
      </c>
      <c r="D30" s="55">
        <v>224100</v>
      </c>
      <c r="E30" s="54">
        <v>0.4</v>
      </c>
      <c r="F30" s="53">
        <v>29000</v>
      </c>
      <c r="G30" s="53" t="s">
        <v>107</v>
      </c>
      <c r="H30" s="5" t="s">
        <v>107</v>
      </c>
      <c r="I30" s="52" t="str">
        <f t="shared" si="0"/>
        <v>Yes</v>
      </c>
      <c r="J30" s="52" t="str">
        <f t="shared" si="1"/>
        <v>Yes</v>
      </c>
      <c r="K30" s="52" t="str">
        <f t="shared" si="2"/>
        <v>Yes</v>
      </c>
      <c r="L30" s="52" t="str">
        <f t="shared" si="3"/>
        <v>Yes</v>
      </c>
      <c r="M30" s="52" t="str">
        <f t="shared" si="4"/>
        <v>Yes</v>
      </c>
    </row>
    <row r="31" spans="2:13" x14ac:dyDescent="0.3">
      <c r="B31" s="5" t="s">
        <v>127</v>
      </c>
      <c r="C31" s="5">
        <v>730</v>
      </c>
      <c r="D31" s="55">
        <v>195100</v>
      </c>
      <c r="E31" s="54">
        <v>0.42</v>
      </c>
      <c r="F31" s="53">
        <v>13000</v>
      </c>
      <c r="G31" s="53" t="s">
        <v>107</v>
      </c>
      <c r="H31" s="5" t="s">
        <v>107</v>
      </c>
      <c r="I31" s="52" t="str">
        <f t="shared" si="0"/>
        <v>Yes</v>
      </c>
      <c r="J31" s="52" t="str">
        <f t="shared" si="1"/>
        <v>Yes</v>
      </c>
      <c r="K31" s="52" t="str">
        <f t="shared" si="2"/>
        <v>No</v>
      </c>
      <c r="L31" s="52" t="str">
        <f t="shared" si="3"/>
        <v>Yes</v>
      </c>
      <c r="M31" s="52" t="str">
        <f t="shared" si="4"/>
        <v>Down too low</v>
      </c>
    </row>
    <row r="32" spans="2:13" x14ac:dyDescent="0.3">
      <c r="B32" s="5" t="s">
        <v>128</v>
      </c>
      <c r="C32" s="5">
        <v>715</v>
      </c>
      <c r="D32" s="55">
        <v>217500</v>
      </c>
      <c r="E32" s="54">
        <v>0.38</v>
      </c>
      <c r="F32" s="53">
        <v>41000</v>
      </c>
      <c r="G32" s="53" t="s">
        <v>108</v>
      </c>
      <c r="H32" s="5" t="s">
        <v>108</v>
      </c>
      <c r="I32" s="52" t="str">
        <f t="shared" si="0"/>
        <v>Yes</v>
      </c>
      <c r="J32" s="52" t="str">
        <f t="shared" si="1"/>
        <v>Yes</v>
      </c>
      <c r="K32" s="52" t="str">
        <f t="shared" si="2"/>
        <v>Yes</v>
      </c>
      <c r="L32" s="52" t="str">
        <f t="shared" si="3"/>
        <v>Suggest AutoPay</v>
      </c>
      <c r="M32" s="52" t="str">
        <f t="shared" si="4"/>
        <v>Yes</v>
      </c>
    </row>
    <row r="33" spans="2:13" ht="15" customHeight="1" x14ac:dyDescent="0.3">
      <c r="B33" s="5" t="s">
        <v>129</v>
      </c>
      <c r="C33" s="5">
        <v>595</v>
      </c>
      <c r="D33" s="55">
        <v>279100</v>
      </c>
      <c r="E33" s="54">
        <v>0.35</v>
      </c>
      <c r="F33" s="53">
        <v>27000</v>
      </c>
      <c r="G33" s="53" t="s">
        <v>108</v>
      </c>
      <c r="H33" s="5" t="s">
        <v>108</v>
      </c>
      <c r="I33" s="52" t="str">
        <f t="shared" si="0"/>
        <v>Yes</v>
      </c>
      <c r="J33" s="52" t="str">
        <f t="shared" si="1"/>
        <v>No</v>
      </c>
      <c r="K33" s="52" t="str">
        <f t="shared" si="2"/>
        <v>Yes</v>
      </c>
      <c r="L33" s="52" t="str">
        <f t="shared" si="3"/>
        <v>Suggest AutoPay</v>
      </c>
      <c r="M33" s="52" t="str">
        <f t="shared" si="4"/>
        <v>Score too low</v>
      </c>
    </row>
    <row r="34" spans="2:13" x14ac:dyDescent="0.3">
      <c r="B34" s="5" t="s">
        <v>130</v>
      </c>
      <c r="C34" s="5">
        <v>676</v>
      </c>
      <c r="D34" s="55">
        <v>307200</v>
      </c>
      <c r="E34" s="54">
        <v>0.38</v>
      </c>
      <c r="F34" s="53">
        <v>36000</v>
      </c>
      <c r="G34" s="53" t="s">
        <v>107</v>
      </c>
      <c r="H34" s="5" t="s">
        <v>108</v>
      </c>
      <c r="I34" s="52" t="str">
        <f t="shared" si="0"/>
        <v>Yes</v>
      </c>
      <c r="J34" s="52" t="str">
        <f t="shared" si="1"/>
        <v>Yes</v>
      </c>
      <c r="K34" s="52" t="str">
        <f t="shared" si="2"/>
        <v>Yes</v>
      </c>
      <c r="L34" s="52" t="str">
        <f t="shared" si="3"/>
        <v>Yes</v>
      </c>
      <c r="M34" s="52" t="str">
        <f t="shared" si="4"/>
        <v>Yes</v>
      </c>
    </row>
    <row r="35" spans="2:13" x14ac:dyDescent="0.3">
      <c r="B35" s="5" t="s">
        <v>131</v>
      </c>
      <c r="C35" s="5">
        <v>601</v>
      </c>
      <c r="D35" s="55">
        <v>236500</v>
      </c>
      <c r="E35" s="54">
        <v>0.35</v>
      </c>
      <c r="F35" s="53">
        <v>37000</v>
      </c>
      <c r="G35" s="53" t="s">
        <v>107</v>
      </c>
      <c r="H35" s="5" t="s">
        <v>107</v>
      </c>
      <c r="I35" s="52" t="str">
        <f t="shared" si="0"/>
        <v>Yes</v>
      </c>
      <c r="J35" s="52" t="str">
        <f t="shared" si="1"/>
        <v>No</v>
      </c>
      <c r="K35" s="52" t="str">
        <f t="shared" si="2"/>
        <v>Yes</v>
      </c>
      <c r="L35" s="52" t="str">
        <f t="shared" si="3"/>
        <v>Yes</v>
      </c>
      <c r="M35" s="52" t="str">
        <f t="shared" si="4"/>
        <v>Score too low</v>
      </c>
    </row>
    <row r="36" spans="2:13" x14ac:dyDescent="0.3">
      <c r="B36" s="5" t="s">
        <v>132</v>
      </c>
      <c r="C36" s="5">
        <v>676</v>
      </c>
      <c r="D36" s="55">
        <v>340400</v>
      </c>
      <c r="E36" s="54">
        <v>0.39</v>
      </c>
      <c r="F36" s="53">
        <v>44000</v>
      </c>
      <c r="G36" s="53" t="s">
        <v>107</v>
      </c>
      <c r="H36" s="5" t="s">
        <v>108</v>
      </c>
      <c r="I36" s="52" t="str">
        <f t="shared" si="0"/>
        <v>Yes</v>
      </c>
      <c r="J36" s="52" t="str">
        <f t="shared" si="1"/>
        <v>Yes</v>
      </c>
      <c r="K36" s="52" t="str">
        <f t="shared" si="2"/>
        <v>Yes</v>
      </c>
      <c r="L36" s="52" t="str">
        <f t="shared" si="3"/>
        <v>Yes</v>
      </c>
      <c r="M36" s="52" t="str">
        <f t="shared" si="4"/>
        <v>Yes</v>
      </c>
    </row>
    <row r="37" spans="2:13" x14ac:dyDescent="0.3">
      <c r="B37" s="5" t="s">
        <v>133</v>
      </c>
      <c r="C37" s="5">
        <v>683</v>
      </c>
      <c r="D37" s="55">
        <v>222900</v>
      </c>
      <c r="E37" s="54">
        <v>0.39</v>
      </c>
      <c r="F37" s="53">
        <v>37000</v>
      </c>
      <c r="G37" s="53" t="s">
        <v>108</v>
      </c>
      <c r="H37" s="5" t="s">
        <v>107</v>
      </c>
      <c r="I37" s="52" t="str">
        <f t="shared" si="0"/>
        <v>Yes</v>
      </c>
      <c r="J37" s="52" t="str">
        <f t="shared" si="1"/>
        <v>Yes</v>
      </c>
      <c r="K37" s="52" t="str">
        <f t="shared" si="2"/>
        <v>Yes</v>
      </c>
      <c r="L37" s="52" t="str">
        <f t="shared" si="3"/>
        <v>Yes</v>
      </c>
      <c r="M37" s="52" t="str">
        <f t="shared" si="4"/>
        <v>Yes</v>
      </c>
    </row>
    <row r="38" spans="2:13" x14ac:dyDescent="0.3">
      <c r="B38" s="5" t="s">
        <v>134</v>
      </c>
      <c r="C38" s="5">
        <v>716</v>
      </c>
      <c r="D38" s="55">
        <v>368000</v>
      </c>
      <c r="E38" s="54">
        <v>0.35</v>
      </c>
      <c r="F38" s="53">
        <v>55000</v>
      </c>
      <c r="G38" s="53" t="s">
        <v>107</v>
      </c>
      <c r="H38" s="5" t="s">
        <v>107</v>
      </c>
      <c r="I38" s="52" t="str">
        <f t="shared" si="0"/>
        <v>Yes</v>
      </c>
      <c r="J38" s="52" t="str">
        <f t="shared" si="1"/>
        <v>Yes</v>
      </c>
      <c r="K38" s="52" t="str">
        <f t="shared" si="2"/>
        <v>Yes</v>
      </c>
      <c r="L38" s="52" t="str">
        <f t="shared" si="3"/>
        <v>Yes</v>
      </c>
      <c r="M38" s="52" t="str">
        <f t="shared" si="4"/>
        <v>Yes</v>
      </c>
    </row>
    <row r="39" spans="2:13" x14ac:dyDescent="0.3">
      <c r="B39" s="5" t="s">
        <v>135</v>
      </c>
      <c r="C39" s="5">
        <v>690</v>
      </c>
      <c r="D39" s="55">
        <v>195700</v>
      </c>
      <c r="E39" s="54">
        <v>0.36</v>
      </c>
      <c r="F39" s="53">
        <v>25000</v>
      </c>
      <c r="G39" s="53" t="s">
        <v>107</v>
      </c>
      <c r="H39" s="5" t="s">
        <v>107</v>
      </c>
      <c r="I39" s="52" t="str">
        <f t="shared" si="0"/>
        <v>Yes</v>
      </c>
      <c r="J39" s="52" t="str">
        <f t="shared" si="1"/>
        <v>Yes</v>
      </c>
      <c r="K39" s="52" t="str">
        <f t="shared" si="2"/>
        <v>Yes</v>
      </c>
      <c r="L39" s="52" t="str">
        <f t="shared" si="3"/>
        <v>Yes</v>
      </c>
      <c r="M39" s="52" t="str">
        <f t="shared" si="4"/>
        <v>Yes</v>
      </c>
    </row>
    <row r="40" spans="2:13" x14ac:dyDescent="0.3">
      <c r="B40" s="5" t="s">
        <v>136</v>
      </c>
      <c r="C40" s="5">
        <v>593</v>
      </c>
      <c r="D40" s="55">
        <v>400300</v>
      </c>
      <c r="E40" s="54">
        <v>0.38</v>
      </c>
      <c r="F40" s="53">
        <v>24000</v>
      </c>
      <c r="G40" s="53" t="s">
        <v>107</v>
      </c>
      <c r="H40" s="5" t="s">
        <v>107</v>
      </c>
      <c r="I40" s="52" t="str">
        <f t="shared" si="0"/>
        <v>Yes</v>
      </c>
      <c r="J40" s="52" t="str">
        <f t="shared" si="1"/>
        <v>No</v>
      </c>
      <c r="K40" s="52" t="str">
        <f t="shared" si="2"/>
        <v>Yes</v>
      </c>
      <c r="L40" s="52" t="str">
        <f t="shared" si="3"/>
        <v>Yes</v>
      </c>
      <c r="M40" s="52" t="str">
        <f t="shared" si="4"/>
        <v>Score too low</v>
      </c>
    </row>
    <row r="41" spans="2:13" x14ac:dyDescent="0.3">
      <c r="B41" s="5" t="s">
        <v>137</v>
      </c>
      <c r="C41" s="5">
        <v>734</v>
      </c>
      <c r="D41" s="55">
        <v>421700</v>
      </c>
      <c r="E41" s="54">
        <v>0.43</v>
      </c>
      <c r="F41" s="53">
        <v>29000</v>
      </c>
      <c r="G41" s="53" t="s">
        <v>107</v>
      </c>
      <c r="H41" s="5" t="s">
        <v>108</v>
      </c>
      <c r="I41" s="52" t="str">
        <f t="shared" si="0"/>
        <v>No</v>
      </c>
      <c r="J41" s="52" t="str">
        <f t="shared" si="1"/>
        <v>Yes</v>
      </c>
      <c r="K41" s="52" t="str">
        <f t="shared" si="2"/>
        <v>No</v>
      </c>
      <c r="L41" s="52" t="str">
        <f t="shared" si="3"/>
        <v>Yes</v>
      </c>
      <c r="M41" s="52" t="str">
        <f t="shared" si="4"/>
        <v>Loan too large</v>
      </c>
    </row>
    <row r="42" spans="2:13" x14ac:dyDescent="0.3">
      <c r="J42" s="15"/>
      <c r="L42" s="15"/>
    </row>
    <row r="43" spans="2:13" x14ac:dyDescent="0.3">
      <c r="J43" s="15"/>
      <c r="L43" s="15"/>
    </row>
    <row r="44" spans="2:13" x14ac:dyDescent="0.3">
      <c r="J44" s="15"/>
      <c r="L44" s="15"/>
    </row>
    <row r="45" spans="2:13" x14ac:dyDescent="0.3">
      <c r="J45" s="15"/>
      <c r="L45" s="15"/>
    </row>
    <row r="46" spans="2:13" x14ac:dyDescent="0.3">
      <c r="J46" s="15"/>
      <c r="L46" s="15"/>
    </row>
    <row r="47" spans="2:13" x14ac:dyDescent="0.3">
      <c r="J47" s="15"/>
      <c r="L47" s="15"/>
    </row>
    <row r="48" spans="2:13" x14ac:dyDescent="0.3">
      <c r="J48" s="15"/>
      <c r="L48" s="15"/>
    </row>
    <row r="49" spans="10:12" x14ac:dyDescent="0.3">
      <c r="J49" s="15"/>
      <c r="L49" s="15"/>
    </row>
    <row r="50" spans="10:12" x14ac:dyDescent="0.3">
      <c r="J50" s="15"/>
      <c r="L50" s="15"/>
    </row>
    <row r="51" spans="10:12" x14ac:dyDescent="0.3">
      <c r="J51" s="15"/>
      <c r="L51" s="15"/>
    </row>
    <row r="52" spans="10:12" x14ac:dyDescent="0.3">
      <c r="J52" s="15"/>
      <c r="L52" s="15"/>
    </row>
    <row r="53" spans="10:12" x14ac:dyDescent="0.3">
      <c r="J53" s="15"/>
      <c r="L53" s="15"/>
    </row>
    <row r="54" spans="10:12" x14ac:dyDescent="0.3">
      <c r="J54" s="15"/>
      <c r="L54" s="15"/>
    </row>
    <row r="55" spans="10:12" x14ac:dyDescent="0.3">
      <c r="J55" s="15"/>
      <c r="L55" s="15"/>
    </row>
    <row r="56" spans="10:12" x14ac:dyDescent="0.3">
      <c r="J56" s="15"/>
      <c r="L56" s="15"/>
    </row>
    <row r="57" spans="10:12" x14ac:dyDescent="0.3">
      <c r="J57" s="15"/>
      <c r="L57" s="15"/>
    </row>
    <row r="58" spans="10:12" x14ac:dyDescent="0.3">
      <c r="J58" s="15"/>
      <c r="L58" s="15"/>
    </row>
    <row r="59" spans="10:12" x14ac:dyDescent="0.3">
      <c r="J59" s="15"/>
      <c r="L59" s="15"/>
    </row>
    <row r="60" spans="10:12" x14ac:dyDescent="0.3">
      <c r="J60" s="15"/>
      <c r="L60" s="15"/>
    </row>
    <row r="61" spans="10:12" x14ac:dyDescent="0.3">
      <c r="J61" s="15"/>
      <c r="L61" s="15"/>
    </row>
    <row r="62" spans="10:12" x14ac:dyDescent="0.3">
      <c r="J62" s="15"/>
      <c r="L62" s="15"/>
    </row>
    <row r="63" spans="10:12" x14ac:dyDescent="0.3">
      <c r="J63" s="15"/>
      <c r="L63" s="15"/>
    </row>
  </sheetData>
  <mergeCells count="1">
    <mergeCell ref="B2:M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7EFB-38A3-4107-B8AB-88AA8F227DB1}">
  <dimension ref="B1:K40"/>
  <sheetViews>
    <sheetView workbookViewId="0">
      <selection sqref="A1:XFD1048576"/>
    </sheetView>
  </sheetViews>
  <sheetFormatPr defaultRowHeight="14.4" x14ac:dyDescent="0.3"/>
  <cols>
    <col min="2" max="2" width="8.5546875" bestFit="1" customWidth="1"/>
    <col min="3" max="3" width="13.33203125" bestFit="1" customWidth="1"/>
    <col min="4" max="4" width="14" bestFit="1" customWidth="1"/>
    <col min="5" max="6" width="17" bestFit="1" customWidth="1"/>
    <col min="7" max="7" width="5.109375" bestFit="1" customWidth="1"/>
    <col min="8" max="8" width="14.21875" bestFit="1" customWidth="1"/>
    <col min="9" max="9" width="11.33203125" bestFit="1" customWidth="1"/>
    <col min="10" max="10" width="11.33203125" customWidth="1"/>
    <col min="11" max="11" width="10.88671875" bestFit="1" customWidth="1"/>
  </cols>
  <sheetData>
    <row r="1" spans="2:11" ht="15" thickBot="1" x14ac:dyDescent="0.35"/>
    <row r="2" spans="2:11" ht="15" customHeight="1" x14ac:dyDescent="0.3">
      <c r="B2" s="143" t="s">
        <v>138</v>
      </c>
      <c r="C2" s="144"/>
      <c r="D2" s="144"/>
      <c r="E2" s="144"/>
      <c r="F2" s="144"/>
      <c r="G2" s="144"/>
      <c r="H2" s="144"/>
      <c r="I2" s="144"/>
      <c r="J2" s="144"/>
      <c r="K2" s="145"/>
    </row>
    <row r="3" spans="2:11" s="2" customFormat="1" x14ac:dyDescent="0.3">
      <c r="B3" s="146"/>
      <c r="C3" s="147"/>
      <c r="D3" s="147"/>
      <c r="E3" s="147"/>
      <c r="F3" s="147"/>
      <c r="G3" s="147"/>
      <c r="H3" s="147"/>
      <c r="I3" s="147"/>
      <c r="J3" s="147"/>
      <c r="K3" s="148"/>
    </row>
    <row r="4" spans="2:11" ht="15" customHeight="1" x14ac:dyDescent="0.3">
      <c r="B4" s="146"/>
      <c r="C4" s="147"/>
      <c r="D4" s="147"/>
      <c r="E4" s="147"/>
      <c r="F4" s="147"/>
      <c r="G4" s="147"/>
      <c r="H4" s="147"/>
      <c r="I4" s="147"/>
      <c r="J4" s="147"/>
      <c r="K4" s="148"/>
    </row>
    <row r="5" spans="2:11" x14ac:dyDescent="0.3">
      <c r="B5" s="146"/>
      <c r="C5" s="147"/>
      <c r="D5" s="147"/>
      <c r="E5" s="147"/>
      <c r="F5" s="147"/>
      <c r="G5" s="147"/>
      <c r="H5" s="147"/>
      <c r="I5" s="147"/>
      <c r="J5" s="147"/>
      <c r="K5" s="148"/>
    </row>
    <row r="6" spans="2:11" x14ac:dyDescent="0.3">
      <c r="B6" s="146"/>
      <c r="C6" s="147"/>
      <c r="D6" s="147"/>
      <c r="E6" s="147"/>
      <c r="F6" s="147"/>
      <c r="G6" s="147"/>
      <c r="H6" s="147"/>
      <c r="I6" s="147"/>
      <c r="J6" s="147"/>
      <c r="K6" s="148"/>
    </row>
    <row r="7" spans="2:11" ht="15" thickBot="1" x14ac:dyDescent="0.35">
      <c r="B7" s="149"/>
      <c r="C7" s="150"/>
      <c r="D7" s="150"/>
      <c r="E7" s="150"/>
      <c r="F7" s="150"/>
      <c r="G7" s="150"/>
      <c r="H7" s="150"/>
      <c r="I7" s="150"/>
      <c r="J7" s="150"/>
      <c r="K7" s="151"/>
    </row>
    <row r="8" spans="2:11" ht="15" customHeight="1" thickBot="1" x14ac:dyDescent="0.35"/>
    <row r="9" spans="2:11" ht="15" thickBot="1" x14ac:dyDescent="0.35">
      <c r="E9" s="185" t="s">
        <v>139</v>
      </c>
      <c r="F9" s="186"/>
    </row>
    <row r="10" spans="2:11" ht="15" customHeight="1" x14ac:dyDescent="0.3">
      <c r="B10" s="137" t="s">
        <v>140</v>
      </c>
      <c r="C10" s="138" t="s">
        <v>141</v>
      </c>
      <c r="D10" s="138" t="s">
        <v>142</v>
      </c>
      <c r="E10" s="62" t="s">
        <v>143</v>
      </c>
      <c r="F10" s="62" t="s">
        <v>144</v>
      </c>
      <c r="G10" s="138" t="s">
        <v>145</v>
      </c>
      <c r="H10" s="138" t="s">
        <v>146</v>
      </c>
      <c r="I10" s="138" t="s">
        <v>147</v>
      </c>
      <c r="J10" s="138" t="s">
        <v>148</v>
      </c>
      <c r="K10" s="139" t="s">
        <v>149</v>
      </c>
    </row>
    <row r="11" spans="2:11" ht="15" customHeight="1" x14ac:dyDescent="0.3">
      <c r="B11" s="61">
        <v>1</v>
      </c>
      <c r="C11" s="2" t="s">
        <v>107</v>
      </c>
      <c r="D11" s="2" t="s">
        <v>108</v>
      </c>
      <c r="E11" s="2" t="s">
        <v>108</v>
      </c>
      <c r="F11" s="2" t="s">
        <v>107</v>
      </c>
      <c r="G11" s="2">
        <v>0</v>
      </c>
      <c r="H11" s="58" t="b">
        <f t="shared" ref="H11:H40" si="0">AND(C11="Yes",D11="Yes")</f>
        <v>0</v>
      </c>
      <c r="I11" s="58" t="b">
        <f t="shared" ref="I11:I40" si="1">OR(E11="Yes",F11="Yes")</f>
        <v>1</v>
      </c>
      <c r="J11" s="58" t="b">
        <f t="shared" ref="J11:J40" si="2">NOT(G11=2)</f>
        <v>1</v>
      </c>
      <c r="K11" s="57" t="b">
        <f t="shared" ref="K11:K40" si="3">AND(H11=TRUE,I11=TRUE,J11=TRUE)</f>
        <v>0</v>
      </c>
    </row>
    <row r="12" spans="2:11" x14ac:dyDescent="0.3">
      <c r="B12" s="61">
        <v>2</v>
      </c>
      <c r="C12" s="2" t="s">
        <v>107</v>
      </c>
      <c r="D12" s="2" t="s">
        <v>108</v>
      </c>
      <c r="E12" s="2" t="s">
        <v>107</v>
      </c>
      <c r="F12" s="2" t="s">
        <v>108</v>
      </c>
      <c r="G12" s="2">
        <v>0</v>
      </c>
      <c r="H12" s="58" t="b">
        <f t="shared" si="0"/>
        <v>0</v>
      </c>
      <c r="I12" s="58" t="b">
        <f t="shared" si="1"/>
        <v>1</v>
      </c>
      <c r="J12" s="58" t="b">
        <f t="shared" si="2"/>
        <v>1</v>
      </c>
      <c r="K12" s="57" t="b">
        <f t="shared" si="3"/>
        <v>0</v>
      </c>
    </row>
    <row r="13" spans="2:11" x14ac:dyDescent="0.3">
      <c r="B13" s="61">
        <v>3</v>
      </c>
      <c r="C13" s="2" t="s">
        <v>107</v>
      </c>
      <c r="D13" s="2" t="s">
        <v>108</v>
      </c>
      <c r="E13" s="2" t="s">
        <v>108</v>
      </c>
      <c r="F13" s="2" t="s">
        <v>107</v>
      </c>
      <c r="G13" s="2">
        <v>0</v>
      </c>
      <c r="H13" s="58" t="b">
        <f t="shared" si="0"/>
        <v>0</v>
      </c>
      <c r="I13" s="58" t="b">
        <f t="shared" si="1"/>
        <v>1</v>
      </c>
      <c r="J13" s="58" t="b">
        <f t="shared" si="2"/>
        <v>1</v>
      </c>
      <c r="K13" s="57" t="b">
        <f t="shared" si="3"/>
        <v>0</v>
      </c>
    </row>
    <row r="14" spans="2:11" ht="15" customHeight="1" x14ac:dyDescent="0.3">
      <c r="B14" s="61">
        <v>4</v>
      </c>
      <c r="C14" s="2" t="s">
        <v>108</v>
      </c>
      <c r="D14" s="2" t="s">
        <v>107</v>
      </c>
      <c r="E14" s="2" t="s">
        <v>108</v>
      </c>
      <c r="F14" s="2" t="s">
        <v>108</v>
      </c>
      <c r="G14" s="2">
        <v>2</v>
      </c>
      <c r="H14" s="58" t="b">
        <f t="shared" si="0"/>
        <v>0</v>
      </c>
      <c r="I14" s="58" t="b">
        <f t="shared" si="1"/>
        <v>0</v>
      </c>
      <c r="J14" s="58" t="b">
        <f t="shared" si="2"/>
        <v>0</v>
      </c>
      <c r="K14" s="57" t="b">
        <f t="shared" si="3"/>
        <v>0</v>
      </c>
    </row>
    <row r="15" spans="2:11" x14ac:dyDescent="0.3">
      <c r="B15" s="61">
        <v>5</v>
      </c>
      <c r="C15" s="2" t="s">
        <v>107</v>
      </c>
      <c r="D15" s="2" t="s">
        <v>107</v>
      </c>
      <c r="E15" s="2" t="s">
        <v>108</v>
      </c>
      <c r="F15" s="2" t="s">
        <v>108</v>
      </c>
      <c r="G15" s="2">
        <v>0</v>
      </c>
      <c r="H15" s="58" t="b">
        <f t="shared" si="0"/>
        <v>1</v>
      </c>
      <c r="I15" s="58" t="b">
        <f t="shared" si="1"/>
        <v>0</v>
      </c>
      <c r="J15" s="58" t="b">
        <f t="shared" si="2"/>
        <v>1</v>
      </c>
      <c r="K15" s="57" t="b">
        <f t="shared" si="3"/>
        <v>0</v>
      </c>
    </row>
    <row r="16" spans="2:11" ht="15" customHeight="1" x14ac:dyDescent="0.3">
      <c r="B16" s="61">
        <v>6</v>
      </c>
      <c r="C16" s="2" t="s">
        <v>108</v>
      </c>
      <c r="D16" s="2" t="s">
        <v>108</v>
      </c>
      <c r="E16" s="2" t="s">
        <v>108</v>
      </c>
      <c r="F16" s="2" t="s">
        <v>107</v>
      </c>
      <c r="G16" s="2">
        <v>1</v>
      </c>
      <c r="H16" s="58" t="b">
        <f t="shared" si="0"/>
        <v>0</v>
      </c>
      <c r="I16" s="58" t="b">
        <f t="shared" si="1"/>
        <v>1</v>
      </c>
      <c r="J16" s="58" t="b">
        <f t="shared" si="2"/>
        <v>1</v>
      </c>
      <c r="K16" s="57" t="b">
        <f t="shared" si="3"/>
        <v>0</v>
      </c>
    </row>
    <row r="17" spans="2:11" x14ac:dyDescent="0.3">
      <c r="B17" s="61">
        <v>7</v>
      </c>
      <c r="C17" s="2" t="s">
        <v>107</v>
      </c>
      <c r="D17" s="2" t="s">
        <v>107</v>
      </c>
      <c r="E17" s="2" t="s">
        <v>108</v>
      </c>
      <c r="F17" s="2" t="s">
        <v>108</v>
      </c>
      <c r="G17" s="2">
        <v>1</v>
      </c>
      <c r="H17" s="58" t="b">
        <f t="shared" si="0"/>
        <v>1</v>
      </c>
      <c r="I17" s="58" t="b">
        <f t="shared" si="1"/>
        <v>0</v>
      </c>
      <c r="J17" s="58" t="b">
        <f t="shared" si="2"/>
        <v>1</v>
      </c>
      <c r="K17" s="57" t="b">
        <f t="shared" si="3"/>
        <v>0</v>
      </c>
    </row>
    <row r="18" spans="2:11" x14ac:dyDescent="0.3">
      <c r="B18" s="61">
        <v>8</v>
      </c>
      <c r="C18" s="2" t="s">
        <v>107</v>
      </c>
      <c r="D18" s="2" t="s">
        <v>107</v>
      </c>
      <c r="E18" s="2" t="s">
        <v>108</v>
      </c>
      <c r="F18" s="2" t="s">
        <v>107</v>
      </c>
      <c r="G18" s="2">
        <v>2</v>
      </c>
      <c r="H18" s="58" t="b">
        <f t="shared" si="0"/>
        <v>1</v>
      </c>
      <c r="I18" s="58" t="b">
        <f t="shared" si="1"/>
        <v>1</v>
      </c>
      <c r="J18" s="58" t="b">
        <f t="shared" si="2"/>
        <v>0</v>
      </c>
      <c r="K18" s="57" t="b">
        <f t="shared" si="3"/>
        <v>0</v>
      </c>
    </row>
    <row r="19" spans="2:11" ht="15" customHeight="1" x14ac:dyDescent="0.3">
      <c r="B19" s="61">
        <v>9</v>
      </c>
      <c r="C19" s="2" t="s">
        <v>107</v>
      </c>
      <c r="D19" s="2" t="s">
        <v>107</v>
      </c>
      <c r="E19" s="2" t="s">
        <v>108</v>
      </c>
      <c r="F19" s="2" t="s">
        <v>108</v>
      </c>
      <c r="G19" s="2">
        <v>1</v>
      </c>
      <c r="H19" s="58" t="b">
        <f t="shared" si="0"/>
        <v>1</v>
      </c>
      <c r="I19" s="58" t="b">
        <f t="shared" si="1"/>
        <v>0</v>
      </c>
      <c r="J19" s="58" t="b">
        <f t="shared" si="2"/>
        <v>1</v>
      </c>
      <c r="K19" s="57" t="b">
        <f t="shared" si="3"/>
        <v>0</v>
      </c>
    </row>
    <row r="20" spans="2:11" x14ac:dyDescent="0.3">
      <c r="B20" s="61">
        <v>10</v>
      </c>
      <c r="C20" s="2" t="s">
        <v>107</v>
      </c>
      <c r="D20" s="2" t="s">
        <v>107</v>
      </c>
      <c r="E20" s="2" t="s">
        <v>108</v>
      </c>
      <c r="F20" s="2" t="s">
        <v>107</v>
      </c>
      <c r="G20" s="2">
        <v>1</v>
      </c>
      <c r="H20" s="58" t="b">
        <f t="shared" si="0"/>
        <v>1</v>
      </c>
      <c r="I20" s="58" t="b">
        <f t="shared" si="1"/>
        <v>1</v>
      </c>
      <c r="J20" s="58" t="b">
        <f t="shared" si="2"/>
        <v>1</v>
      </c>
      <c r="K20" s="57" t="b">
        <f t="shared" si="3"/>
        <v>1</v>
      </c>
    </row>
    <row r="21" spans="2:11" x14ac:dyDescent="0.3">
      <c r="B21" s="61">
        <v>11</v>
      </c>
      <c r="C21" s="2" t="s">
        <v>108</v>
      </c>
      <c r="D21" s="2" t="s">
        <v>108</v>
      </c>
      <c r="E21" s="2" t="s">
        <v>108</v>
      </c>
      <c r="F21" s="2" t="s">
        <v>108</v>
      </c>
      <c r="G21" s="2">
        <v>0</v>
      </c>
      <c r="H21" s="58" t="b">
        <f t="shared" si="0"/>
        <v>0</v>
      </c>
      <c r="I21" s="58" t="b">
        <f t="shared" si="1"/>
        <v>0</v>
      </c>
      <c r="J21" s="58" t="b">
        <f t="shared" si="2"/>
        <v>1</v>
      </c>
      <c r="K21" s="57" t="b">
        <f t="shared" si="3"/>
        <v>0</v>
      </c>
    </row>
    <row r="22" spans="2:11" ht="15" customHeight="1" x14ac:dyDescent="0.3">
      <c r="B22" s="61">
        <v>12</v>
      </c>
      <c r="C22" s="2" t="s">
        <v>107</v>
      </c>
      <c r="D22" s="2" t="s">
        <v>107</v>
      </c>
      <c r="E22" s="2" t="s">
        <v>107</v>
      </c>
      <c r="F22" s="2" t="s">
        <v>108</v>
      </c>
      <c r="G22" s="2">
        <v>2</v>
      </c>
      <c r="H22" s="58" t="b">
        <f t="shared" si="0"/>
        <v>1</v>
      </c>
      <c r="I22" s="58" t="b">
        <f t="shared" si="1"/>
        <v>1</v>
      </c>
      <c r="J22" s="58" t="b">
        <f t="shared" si="2"/>
        <v>0</v>
      </c>
      <c r="K22" s="57" t="b">
        <f t="shared" si="3"/>
        <v>0</v>
      </c>
    </row>
    <row r="23" spans="2:11" x14ac:dyDescent="0.3">
      <c r="B23" s="61">
        <v>13</v>
      </c>
      <c r="C23" s="2" t="s">
        <v>108</v>
      </c>
      <c r="D23" s="2" t="s">
        <v>107</v>
      </c>
      <c r="E23" s="2" t="s">
        <v>108</v>
      </c>
      <c r="F23" s="2" t="s">
        <v>107</v>
      </c>
      <c r="G23" s="2">
        <v>0</v>
      </c>
      <c r="H23" s="58" t="b">
        <f t="shared" si="0"/>
        <v>0</v>
      </c>
      <c r="I23" s="58" t="b">
        <f t="shared" si="1"/>
        <v>1</v>
      </c>
      <c r="J23" s="58" t="b">
        <f t="shared" si="2"/>
        <v>1</v>
      </c>
      <c r="K23" s="57" t="b">
        <f t="shared" si="3"/>
        <v>0</v>
      </c>
    </row>
    <row r="24" spans="2:11" x14ac:dyDescent="0.3">
      <c r="B24" s="61">
        <v>14</v>
      </c>
      <c r="C24" s="2" t="s">
        <v>108</v>
      </c>
      <c r="D24" s="2" t="s">
        <v>107</v>
      </c>
      <c r="E24" s="2" t="s">
        <v>108</v>
      </c>
      <c r="F24" s="2" t="s">
        <v>108</v>
      </c>
      <c r="G24" s="2">
        <v>2</v>
      </c>
      <c r="H24" s="58" t="b">
        <f t="shared" si="0"/>
        <v>0</v>
      </c>
      <c r="I24" s="58" t="b">
        <f t="shared" si="1"/>
        <v>0</v>
      </c>
      <c r="J24" s="58" t="b">
        <f t="shared" si="2"/>
        <v>0</v>
      </c>
      <c r="K24" s="57" t="b">
        <f t="shared" si="3"/>
        <v>0</v>
      </c>
    </row>
    <row r="25" spans="2:11" ht="15" customHeight="1" x14ac:dyDescent="0.3">
      <c r="B25" s="61">
        <v>15</v>
      </c>
      <c r="C25" s="2" t="s">
        <v>107</v>
      </c>
      <c r="D25" s="2" t="s">
        <v>107</v>
      </c>
      <c r="E25" s="2" t="s">
        <v>107</v>
      </c>
      <c r="F25" s="2" t="s">
        <v>108</v>
      </c>
      <c r="G25" s="2">
        <v>1</v>
      </c>
      <c r="H25" s="58" t="b">
        <f t="shared" si="0"/>
        <v>1</v>
      </c>
      <c r="I25" s="58" t="b">
        <f t="shared" si="1"/>
        <v>1</v>
      </c>
      <c r="J25" s="58" t="b">
        <f t="shared" si="2"/>
        <v>1</v>
      </c>
      <c r="K25" s="57" t="b">
        <f t="shared" si="3"/>
        <v>1</v>
      </c>
    </row>
    <row r="26" spans="2:11" x14ac:dyDescent="0.3">
      <c r="B26" s="61">
        <v>16</v>
      </c>
      <c r="C26" s="2" t="s">
        <v>108</v>
      </c>
      <c r="D26" s="2" t="s">
        <v>108</v>
      </c>
      <c r="E26" s="2" t="s">
        <v>107</v>
      </c>
      <c r="F26" s="2" t="s">
        <v>108</v>
      </c>
      <c r="G26" s="2">
        <v>0</v>
      </c>
      <c r="H26" s="58" t="b">
        <f t="shared" si="0"/>
        <v>0</v>
      </c>
      <c r="I26" s="58" t="b">
        <f t="shared" si="1"/>
        <v>1</v>
      </c>
      <c r="J26" s="58" t="b">
        <f t="shared" si="2"/>
        <v>1</v>
      </c>
      <c r="K26" s="57" t="b">
        <f t="shared" si="3"/>
        <v>0</v>
      </c>
    </row>
    <row r="27" spans="2:11" x14ac:dyDescent="0.3">
      <c r="B27" s="61">
        <v>17</v>
      </c>
      <c r="C27" s="2" t="s">
        <v>108</v>
      </c>
      <c r="D27" s="2" t="s">
        <v>107</v>
      </c>
      <c r="E27" s="2" t="s">
        <v>107</v>
      </c>
      <c r="F27" s="2" t="s">
        <v>108</v>
      </c>
      <c r="G27" s="2">
        <v>0</v>
      </c>
      <c r="H27" s="58" t="b">
        <f t="shared" si="0"/>
        <v>0</v>
      </c>
      <c r="I27" s="58" t="b">
        <f t="shared" si="1"/>
        <v>1</v>
      </c>
      <c r="J27" s="58" t="b">
        <f t="shared" si="2"/>
        <v>1</v>
      </c>
      <c r="K27" s="57" t="b">
        <f t="shared" si="3"/>
        <v>0</v>
      </c>
    </row>
    <row r="28" spans="2:11" x14ac:dyDescent="0.3">
      <c r="B28" s="61">
        <v>18</v>
      </c>
      <c r="C28" s="2" t="s">
        <v>108</v>
      </c>
      <c r="D28" s="2" t="s">
        <v>108</v>
      </c>
      <c r="E28" s="2" t="s">
        <v>107</v>
      </c>
      <c r="F28" s="2" t="s">
        <v>108</v>
      </c>
      <c r="G28" s="2">
        <v>0</v>
      </c>
      <c r="H28" s="58" t="b">
        <f t="shared" si="0"/>
        <v>0</v>
      </c>
      <c r="I28" s="58" t="b">
        <f t="shared" si="1"/>
        <v>1</v>
      </c>
      <c r="J28" s="58" t="b">
        <f t="shared" si="2"/>
        <v>1</v>
      </c>
      <c r="K28" s="57" t="b">
        <f t="shared" si="3"/>
        <v>0</v>
      </c>
    </row>
    <row r="29" spans="2:11" x14ac:dyDescent="0.3">
      <c r="B29" s="61">
        <v>19</v>
      </c>
      <c r="C29" s="2" t="s">
        <v>108</v>
      </c>
      <c r="D29" s="2" t="s">
        <v>108</v>
      </c>
      <c r="E29" s="2" t="s">
        <v>108</v>
      </c>
      <c r="F29" s="2" t="s">
        <v>108</v>
      </c>
      <c r="G29" s="2">
        <v>0</v>
      </c>
      <c r="H29" s="58" t="b">
        <f t="shared" si="0"/>
        <v>0</v>
      </c>
      <c r="I29" s="58" t="b">
        <f t="shared" si="1"/>
        <v>0</v>
      </c>
      <c r="J29" s="58" t="b">
        <f t="shared" si="2"/>
        <v>1</v>
      </c>
      <c r="K29" s="57" t="b">
        <f t="shared" si="3"/>
        <v>0</v>
      </c>
    </row>
    <row r="30" spans="2:11" x14ac:dyDescent="0.3">
      <c r="B30" s="61">
        <v>20</v>
      </c>
      <c r="C30" s="2" t="s">
        <v>107</v>
      </c>
      <c r="D30" s="2" t="s">
        <v>107</v>
      </c>
      <c r="E30" s="2" t="s">
        <v>108</v>
      </c>
      <c r="F30" s="2" t="s">
        <v>107</v>
      </c>
      <c r="G30" s="2">
        <v>0</v>
      </c>
      <c r="H30" s="58" t="b">
        <f t="shared" si="0"/>
        <v>1</v>
      </c>
      <c r="I30" s="58" t="b">
        <f t="shared" si="1"/>
        <v>1</v>
      </c>
      <c r="J30" s="58" t="b">
        <f t="shared" si="2"/>
        <v>1</v>
      </c>
      <c r="K30" s="57" t="b">
        <f t="shared" si="3"/>
        <v>1</v>
      </c>
    </row>
    <row r="31" spans="2:11" ht="15" customHeight="1" x14ac:dyDescent="0.3">
      <c r="B31" s="61">
        <v>21</v>
      </c>
      <c r="C31" s="2" t="s">
        <v>107</v>
      </c>
      <c r="D31" s="2" t="s">
        <v>107</v>
      </c>
      <c r="E31" s="2" t="s">
        <v>107</v>
      </c>
      <c r="F31" s="2" t="s">
        <v>108</v>
      </c>
      <c r="G31" s="2">
        <v>0</v>
      </c>
      <c r="H31" s="58" t="b">
        <f t="shared" si="0"/>
        <v>1</v>
      </c>
      <c r="I31" s="58" t="b">
        <f t="shared" si="1"/>
        <v>1</v>
      </c>
      <c r="J31" s="58" t="b">
        <f t="shared" si="2"/>
        <v>1</v>
      </c>
      <c r="K31" s="57" t="b">
        <f t="shared" si="3"/>
        <v>1</v>
      </c>
    </row>
    <row r="32" spans="2:11" x14ac:dyDescent="0.3">
      <c r="B32" s="61">
        <v>22</v>
      </c>
      <c r="C32" s="2" t="s">
        <v>108</v>
      </c>
      <c r="D32" s="2" t="s">
        <v>108</v>
      </c>
      <c r="E32" s="2" t="s">
        <v>107</v>
      </c>
      <c r="F32" s="2" t="s">
        <v>108</v>
      </c>
      <c r="G32" s="2">
        <v>1</v>
      </c>
      <c r="H32" s="58" t="b">
        <f t="shared" si="0"/>
        <v>0</v>
      </c>
      <c r="I32" s="58" t="b">
        <f t="shared" si="1"/>
        <v>1</v>
      </c>
      <c r="J32" s="58" t="b">
        <f t="shared" si="2"/>
        <v>1</v>
      </c>
      <c r="K32" s="57" t="b">
        <f t="shared" si="3"/>
        <v>0</v>
      </c>
    </row>
    <row r="33" spans="2:11" x14ac:dyDescent="0.3">
      <c r="B33" s="61">
        <v>23</v>
      </c>
      <c r="C33" s="2" t="s">
        <v>108</v>
      </c>
      <c r="D33" s="2" t="s">
        <v>107</v>
      </c>
      <c r="E33" s="2" t="s">
        <v>107</v>
      </c>
      <c r="F33" s="2" t="s">
        <v>108</v>
      </c>
      <c r="G33" s="2">
        <v>1</v>
      </c>
      <c r="H33" s="58" t="b">
        <f t="shared" si="0"/>
        <v>0</v>
      </c>
      <c r="I33" s="58" t="b">
        <f t="shared" si="1"/>
        <v>1</v>
      </c>
      <c r="J33" s="58" t="b">
        <f t="shared" si="2"/>
        <v>1</v>
      </c>
      <c r="K33" s="57" t="b">
        <f t="shared" si="3"/>
        <v>0</v>
      </c>
    </row>
    <row r="34" spans="2:11" x14ac:dyDescent="0.3">
      <c r="B34" s="61">
        <v>24</v>
      </c>
      <c r="C34" s="2" t="s">
        <v>108</v>
      </c>
      <c r="D34" s="2" t="s">
        <v>107</v>
      </c>
      <c r="E34" s="2" t="s">
        <v>108</v>
      </c>
      <c r="F34" s="2" t="s">
        <v>107</v>
      </c>
      <c r="G34" s="2">
        <v>0</v>
      </c>
      <c r="H34" s="58" t="b">
        <f t="shared" si="0"/>
        <v>0</v>
      </c>
      <c r="I34" s="58" t="b">
        <f t="shared" si="1"/>
        <v>1</v>
      </c>
      <c r="J34" s="58" t="b">
        <f t="shared" si="2"/>
        <v>1</v>
      </c>
      <c r="K34" s="57" t="b">
        <f t="shared" si="3"/>
        <v>0</v>
      </c>
    </row>
    <row r="35" spans="2:11" x14ac:dyDescent="0.3">
      <c r="B35" s="61">
        <v>25</v>
      </c>
      <c r="C35" s="2" t="s">
        <v>108</v>
      </c>
      <c r="D35" s="2" t="s">
        <v>108</v>
      </c>
      <c r="E35" s="2" t="s">
        <v>108</v>
      </c>
      <c r="F35" s="2" t="s">
        <v>107</v>
      </c>
      <c r="G35" s="2">
        <v>0</v>
      </c>
      <c r="H35" s="58" t="b">
        <f t="shared" si="0"/>
        <v>0</v>
      </c>
      <c r="I35" s="58" t="b">
        <f t="shared" si="1"/>
        <v>1</v>
      </c>
      <c r="J35" s="58" t="b">
        <f t="shared" si="2"/>
        <v>1</v>
      </c>
      <c r="K35" s="57" t="b">
        <f t="shared" si="3"/>
        <v>0</v>
      </c>
    </row>
    <row r="36" spans="2:11" x14ac:dyDescent="0.3">
      <c r="B36" s="61">
        <v>26</v>
      </c>
      <c r="C36" s="2" t="s">
        <v>107</v>
      </c>
      <c r="D36" s="2" t="s">
        <v>108</v>
      </c>
      <c r="E36" s="2" t="s">
        <v>107</v>
      </c>
      <c r="F36" s="2" t="s">
        <v>108</v>
      </c>
      <c r="G36" s="2">
        <v>1</v>
      </c>
      <c r="H36" s="58" t="b">
        <f t="shared" si="0"/>
        <v>0</v>
      </c>
      <c r="I36" s="58" t="b">
        <f t="shared" si="1"/>
        <v>1</v>
      </c>
      <c r="J36" s="58" t="b">
        <f t="shared" si="2"/>
        <v>1</v>
      </c>
      <c r="K36" s="57" t="b">
        <f t="shared" si="3"/>
        <v>0</v>
      </c>
    </row>
    <row r="37" spans="2:11" x14ac:dyDescent="0.3">
      <c r="B37" s="61">
        <v>27</v>
      </c>
      <c r="C37" s="2" t="s">
        <v>107</v>
      </c>
      <c r="D37" s="2" t="s">
        <v>107</v>
      </c>
      <c r="E37" s="2" t="s">
        <v>108</v>
      </c>
      <c r="F37" s="2" t="s">
        <v>107</v>
      </c>
      <c r="G37" s="2">
        <v>0</v>
      </c>
      <c r="H37" s="58" t="b">
        <f t="shared" si="0"/>
        <v>1</v>
      </c>
      <c r="I37" s="58" t="b">
        <f t="shared" si="1"/>
        <v>1</v>
      </c>
      <c r="J37" s="58" t="b">
        <f t="shared" si="2"/>
        <v>1</v>
      </c>
      <c r="K37" s="57" t="b">
        <f t="shared" si="3"/>
        <v>1</v>
      </c>
    </row>
    <row r="38" spans="2:11" x14ac:dyDescent="0.3">
      <c r="B38" s="61">
        <v>28</v>
      </c>
      <c r="C38" s="2" t="s">
        <v>108</v>
      </c>
      <c r="D38" s="2" t="s">
        <v>108</v>
      </c>
      <c r="E38" s="2" t="s">
        <v>108</v>
      </c>
      <c r="F38" s="2" t="s">
        <v>107</v>
      </c>
      <c r="G38" s="2">
        <v>1</v>
      </c>
      <c r="H38" s="58" t="b">
        <f t="shared" si="0"/>
        <v>0</v>
      </c>
      <c r="I38" s="58" t="b">
        <f t="shared" si="1"/>
        <v>1</v>
      </c>
      <c r="J38" s="58" t="b">
        <f t="shared" si="2"/>
        <v>1</v>
      </c>
      <c r="K38" s="57" t="b">
        <f t="shared" si="3"/>
        <v>0</v>
      </c>
    </row>
    <row r="39" spans="2:11" x14ac:dyDescent="0.3">
      <c r="B39" s="61">
        <v>29</v>
      </c>
      <c r="C39" s="2" t="s">
        <v>108</v>
      </c>
      <c r="D39" s="2" t="s">
        <v>108</v>
      </c>
      <c r="E39" s="2" t="s">
        <v>108</v>
      </c>
      <c r="F39" s="2" t="s">
        <v>107</v>
      </c>
      <c r="G39" s="2">
        <v>2</v>
      </c>
      <c r="H39" s="58" t="b">
        <f t="shared" si="0"/>
        <v>0</v>
      </c>
      <c r="I39" s="58" t="b">
        <f t="shared" si="1"/>
        <v>1</v>
      </c>
      <c r="J39" s="58" t="b">
        <f t="shared" si="2"/>
        <v>0</v>
      </c>
      <c r="K39" s="57" t="b">
        <f t="shared" si="3"/>
        <v>0</v>
      </c>
    </row>
    <row r="40" spans="2:11" ht="15" thickBot="1" x14ac:dyDescent="0.35">
      <c r="B40" s="60">
        <v>30</v>
      </c>
      <c r="C40" s="59" t="s">
        <v>108</v>
      </c>
      <c r="D40" s="59" t="s">
        <v>108</v>
      </c>
      <c r="E40" s="59" t="s">
        <v>108</v>
      </c>
      <c r="F40" s="59" t="s">
        <v>107</v>
      </c>
      <c r="G40" s="59">
        <v>2</v>
      </c>
      <c r="H40" s="58" t="b">
        <f t="shared" si="0"/>
        <v>0</v>
      </c>
      <c r="I40" s="58" t="b">
        <f t="shared" si="1"/>
        <v>1</v>
      </c>
      <c r="J40" s="58" t="b">
        <f t="shared" si="2"/>
        <v>0</v>
      </c>
      <c r="K40" s="57" t="b">
        <f t="shared" si="3"/>
        <v>0</v>
      </c>
    </row>
  </sheetData>
  <mergeCells count="2">
    <mergeCell ref="B2:K7"/>
    <mergeCell ref="E9:F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B72E4-4849-479D-A682-66F1E0E7D3F2}">
  <dimension ref="B1:R45"/>
  <sheetViews>
    <sheetView workbookViewId="0">
      <selection activeCell="H11" sqref="H11"/>
    </sheetView>
  </sheetViews>
  <sheetFormatPr defaultRowHeight="14.4" x14ac:dyDescent="0.3"/>
  <cols>
    <col min="4" max="4" width="9.6640625" bestFit="1" customWidth="1"/>
    <col min="11" max="11" width="7.88671875" customWidth="1"/>
    <col min="12" max="12" width="9.6640625" bestFit="1" customWidth="1"/>
    <col min="13" max="14" width="8.21875" bestFit="1" customWidth="1"/>
    <col min="15" max="15" width="9.6640625" bestFit="1" customWidth="1"/>
  </cols>
  <sheetData>
    <row r="1" spans="2:17" ht="15" thickBot="1" x14ac:dyDescent="0.35"/>
    <row r="2" spans="2:17" x14ac:dyDescent="0.3">
      <c r="B2" s="143" t="s">
        <v>150</v>
      </c>
      <c r="C2" s="144"/>
      <c r="D2" s="144"/>
      <c r="E2" s="144"/>
      <c r="F2" s="144"/>
      <c r="G2" s="144"/>
      <c r="H2" s="144"/>
      <c r="I2" s="144"/>
      <c r="J2" s="144"/>
      <c r="K2" s="144"/>
      <c r="L2" s="144"/>
      <c r="M2" s="144"/>
      <c r="N2" s="144"/>
      <c r="O2" s="144"/>
      <c r="P2" s="144"/>
      <c r="Q2" s="145"/>
    </row>
    <row r="3" spans="2:17" x14ac:dyDescent="0.3">
      <c r="B3" s="146"/>
      <c r="C3" s="147"/>
      <c r="D3" s="147"/>
      <c r="E3" s="147"/>
      <c r="F3" s="147"/>
      <c r="G3" s="147"/>
      <c r="H3" s="147"/>
      <c r="I3" s="147"/>
      <c r="J3" s="147"/>
      <c r="K3" s="147"/>
      <c r="L3" s="147"/>
      <c r="M3" s="147"/>
      <c r="N3" s="147"/>
      <c r="O3" s="147"/>
      <c r="P3" s="147"/>
      <c r="Q3" s="148"/>
    </row>
    <row r="4" spans="2:17" x14ac:dyDescent="0.3">
      <c r="B4" s="146"/>
      <c r="C4" s="147"/>
      <c r="D4" s="147"/>
      <c r="E4" s="147"/>
      <c r="F4" s="147"/>
      <c r="G4" s="147"/>
      <c r="H4" s="147"/>
      <c r="I4" s="147"/>
      <c r="J4" s="147"/>
      <c r="K4" s="147"/>
      <c r="L4" s="147"/>
      <c r="M4" s="147"/>
      <c r="N4" s="147"/>
      <c r="O4" s="147"/>
      <c r="P4" s="147"/>
      <c r="Q4" s="148"/>
    </row>
    <row r="5" spans="2:17" x14ac:dyDescent="0.3">
      <c r="B5" s="146"/>
      <c r="C5" s="147"/>
      <c r="D5" s="147"/>
      <c r="E5" s="147"/>
      <c r="F5" s="147"/>
      <c r="G5" s="147"/>
      <c r="H5" s="147"/>
      <c r="I5" s="147"/>
      <c r="J5" s="147"/>
      <c r="K5" s="147"/>
      <c r="L5" s="147"/>
      <c r="M5" s="147"/>
      <c r="N5" s="147"/>
      <c r="O5" s="147"/>
      <c r="P5" s="147"/>
      <c r="Q5" s="148"/>
    </row>
    <row r="6" spans="2:17" ht="15" thickBot="1" x14ac:dyDescent="0.35">
      <c r="B6" s="149"/>
      <c r="C6" s="150"/>
      <c r="D6" s="150"/>
      <c r="E6" s="150"/>
      <c r="F6" s="150"/>
      <c r="G6" s="150"/>
      <c r="H6" s="150"/>
      <c r="I6" s="150"/>
      <c r="J6" s="150"/>
      <c r="K6" s="150"/>
      <c r="L6" s="150"/>
      <c r="M6" s="150"/>
      <c r="N6" s="150"/>
      <c r="O6" s="150"/>
      <c r="P6" s="150"/>
      <c r="Q6" s="151"/>
    </row>
    <row r="7" spans="2:17" ht="15" thickBot="1" x14ac:dyDescent="0.35"/>
    <row r="8" spans="2:17" x14ac:dyDescent="0.3">
      <c r="B8" s="137" t="s">
        <v>151</v>
      </c>
      <c r="C8" s="138" t="s">
        <v>152</v>
      </c>
      <c r="D8" s="138" t="s">
        <v>153</v>
      </c>
      <c r="E8" s="138" t="s">
        <v>154</v>
      </c>
      <c r="F8" s="138" t="s">
        <v>155</v>
      </c>
      <c r="G8" s="138" t="s">
        <v>156</v>
      </c>
      <c r="H8" s="138" t="s">
        <v>157</v>
      </c>
      <c r="I8" s="139" t="s">
        <v>158</v>
      </c>
      <c r="K8" s="185" t="s">
        <v>159</v>
      </c>
      <c r="L8" s="187"/>
      <c r="M8" s="186"/>
      <c r="O8" s="185" t="s">
        <v>160</v>
      </c>
      <c r="P8" s="187"/>
      <c r="Q8" s="186"/>
    </row>
    <row r="9" spans="2:17" x14ac:dyDescent="0.3">
      <c r="B9" s="75">
        <v>1</v>
      </c>
      <c r="C9" s="11" t="s">
        <v>161</v>
      </c>
      <c r="D9" s="11">
        <v>4</v>
      </c>
      <c r="E9" s="11">
        <v>845</v>
      </c>
      <c r="F9" s="65">
        <f t="shared" ref="F9:F33" si="0">VLOOKUP(E9,$K$10:$M$15,2,TRUE)</f>
        <v>8</v>
      </c>
      <c r="G9" s="64">
        <f t="shared" ref="G9:G33" si="1">VLOOKUP(E9,$K$10:$M$15,3,TRUE)</f>
        <v>400</v>
      </c>
      <c r="H9" s="64">
        <f t="shared" ref="H9:H33" si="2">HLOOKUP(C9,$O$9:$Q$18,D9,FALSE)</f>
        <v>800</v>
      </c>
      <c r="I9" s="73">
        <f t="shared" ref="I9:I33" si="3">G9+H9</f>
        <v>1200</v>
      </c>
      <c r="K9" s="78" t="s">
        <v>162</v>
      </c>
      <c r="L9" s="62" t="s">
        <v>155</v>
      </c>
      <c r="M9" s="77" t="s">
        <v>157</v>
      </c>
      <c r="O9" s="78" t="s">
        <v>153</v>
      </c>
      <c r="P9" s="62" t="s">
        <v>163</v>
      </c>
      <c r="Q9" s="77" t="s">
        <v>161</v>
      </c>
    </row>
    <row r="10" spans="2:17" x14ac:dyDescent="0.3">
      <c r="B10" s="69">
        <v>2</v>
      </c>
      <c r="C10" s="5" t="s">
        <v>163</v>
      </c>
      <c r="D10" s="5">
        <v>10</v>
      </c>
      <c r="E10" s="5">
        <v>421</v>
      </c>
      <c r="F10" s="65">
        <f t="shared" si="0"/>
        <v>7</v>
      </c>
      <c r="G10" s="64">
        <f t="shared" si="1"/>
        <v>150</v>
      </c>
      <c r="H10" s="64">
        <f t="shared" si="2"/>
        <v>1100</v>
      </c>
      <c r="I10" s="68">
        <f t="shared" si="3"/>
        <v>1250</v>
      </c>
      <c r="K10" s="75">
        <v>0</v>
      </c>
      <c r="L10" s="11">
        <v>1</v>
      </c>
      <c r="M10" s="76">
        <v>20</v>
      </c>
      <c r="O10" s="75">
        <v>2</v>
      </c>
      <c r="P10" s="74">
        <v>300</v>
      </c>
      <c r="Q10" s="73">
        <v>500</v>
      </c>
    </row>
    <row r="11" spans="2:17" x14ac:dyDescent="0.3">
      <c r="B11" s="69">
        <v>3</v>
      </c>
      <c r="C11" s="5" t="s">
        <v>161</v>
      </c>
      <c r="D11" s="5">
        <v>5</v>
      </c>
      <c r="E11" s="5">
        <v>5</v>
      </c>
      <c r="F11" s="65">
        <f t="shared" si="0"/>
        <v>1</v>
      </c>
      <c r="G11" s="64">
        <f t="shared" si="1"/>
        <v>20</v>
      </c>
      <c r="H11" s="64">
        <f t="shared" si="2"/>
        <v>975</v>
      </c>
      <c r="I11" s="68">
        <f t="shared" si="3"/>
        <v>995</v>
      </c>
      <c r="K11" s="69">
        <v>50</v>
      </c>
      <c r="L11" s="5">
        <v>2</v>
      </c>
      <c r="M11" s="72">
        <v>30</v>
      </c>
      <c r="O11" s="69">
        <v>3</v>
      </c>
      <c r="P11" s="53">
        <v>400</v>
      </c>
      <c r="Q11" s="68">
        <v>700</v>
      </c>
    </row>
    <row r="12" spans="2:17" x14ac:dyDescent="0.3">
      <c r="B12" s="69">
        <v>4</v>
      </c>
      <c r="C12" s="5" t="s">
        <v>161</v>
      </c>
      <c r="D12" s="5">
        <v>7</v>
      </c>
      <c r="E12" s="5">
        <v>883</v>
      </c>
      <c r="F12" s="65">
        <f t="shared" si="0"/>
        <v>8</v>
      </c>
      <c r="G12" s="64">
        <f t="shared" si="1"/>
        <v>400</v>
      </c>
      <c r="H12" s="64">
        <f t="shared" si="2"/>
        <v>1200</v>
      </c>
      <c r="I12" s="68">
        <f t="shared" si="3"/>
        <v>1600</v>
      </c>
      <c r="K12" s="69">
        <v>100</v>
      </c>
      <c r="L12" s="5">
        <v>3</v>
      </c>
      <c r="M12" s="72">
        <v>50</v>
      </c>
      <c r="O12" s="69">
        <v>4</v>
      </c>
      <c r="P12" s="53">
        <v>500</v>
      </c>
      <c r="Q12" s="68">
        <v>800</v>
      </c>
    </row>
    <row r="13" spans="2:17" x14ac:dyDescent="0.3">
      <c r="B13" s="69">
        <v>5</v>
      </c>
      <c r="C13" s="5" t="s">
        <v>161</v>
      </c>
      <c r="D13" s="5">
        <v>4</v>
      </c>
      <c r="E13" s="5">
        <v>181</v>
      </c>
      <c r="F13" s="65">
        <f t="shared" si="0"/>
        <v>3</v>
      </c>
      <c r="G13" s="64">
        <f t="shared" si="1"/>
        <v>50</v>
      </c>
      <c r="H13" s="64">
        <f t="shared" si="2"/>
        <v>800</v>
      </c>
      <c r="I13" s="68">
        <f t="shared" si="3"/>
        <v>850</v>
      </c>
      <c r="K13" s="69">
        <v>200</v>
      </c>
      <c r="L13" s="5">
        <v>5</v>
      </c>
      <c r="M13" s="72">
        <v>75</v>
      </c>
      <c r="O13" s="69">
        <v>5</v>
      </c>
      <c r="P13" s="53">
        <v>600</v>
      </c>
      <c r="Q13" s="68">
        <v>975</v>
      </c>
    </row>
    <row r="14" spans="2:17" x14ac:dyDescent="0.3">
      <c r="B14" s="69">
        <v>6</v>
      </c>
      <c r="C14" s="5" t="s">
        <v>163</v>
      </c>
      <c r="D14" s="5">
        <v>9</v>
      </c>
      <c r="E14" s="5">
        <v>117</v>
      </c>
      <c r="F14" s="65">
        <f t="shared" si="0"/>
        <v>3</v>
      </c>
      <c r="G14" s="64">
        <f t="shared" si="1"/>
        <v>50</v>
      </c>
      <c r="H14" s="64">
        <f t="shared" si="2"/>
        <v>1000</v>
      </c>
      <c r="I14" s="68">
        <f t="shared" si="3"/>
        <v>1050</v>
      </c>
      <c r="K14" s="69">
        <v>400</v>
      </c>
      <c r="L14" s="5">
        <v>7</v>
      </c>
      <c r="M14" s="72">
        <v>150</v>
      </c>
      <c r="O14" s="69">
        <v>6</v>
      </c>
      <c r="P14" s="53">
        <v>700</v>
      </c>
      <c r="Q14" s="68">
        <v>1100</v>
      </c>
    </row>
    <row r="15" spans="2:17" ht="15" thickBot="1" x14ac:dyDescent="0.35">
      <c r="B15" s="69">
        <v>7</v>
      </c>
      <c r="C15" s="5" t="s">
        <v>161</v>
      </c>
      <c r="D15" s="5">
        <v>7</v>
      </c>
      <c r="E15" s="5">
        <v>867</v>
      </c>
      <c r="F15" s="65">
        <f t="shared" si="0"/>
        <v>8</v>
      </c>
      <c r="G15" s="64">
        <f t="shared" si="1"/>
        <v>400</v>
      </c>
      <c r="H15" s="64">
        <f t="shared" si="2"/>
        <v>1200</v>
      </c>
      <c r="I15" s="68">
        <f t="shared" si="3"/>
        <v>1600</v>
      </c>
      <c r="K15" s="67">
        <v>800</v>
      </c>
      <c r="L15" s="66">
        <v>8</v>
      </c>
      <c r="M15" s="71">
        <v>400</v>
      </c>
      <c r="O15" s="69">
        <v>7</v>
      </c>
      <c r="P15" s="53">
        <v>800</v>
      </c>
      <c r="Q15" s="68">
        <v>1200</v>
      </c>
    </row>
    <row r="16" spans="2:17" x14ac:dyDescent="0.3">
      <c r="B16" s="69">
        <v>8</v>
      </c>
      <c r="C16" s="5" t="s">
        <v>163</v>
      </c>
      <c r="D16" s="5">
        <v>9</v>
      </c>
      <c r="E16" s="5">
        <v>17</v>
      </c>
      <c r="F16" s="65">
        <f t="shared" si="0"/>
        <v>1</v>
      </c>
      <c r="G16" s="64">
        <f t="shared" si="1"/>
        <v>20</v>
      </c>
      <c r="H16" s="64">
        <f t="shared" si="2"/>
        <v>1000</v>
      </c>
      <c r="I16" s="68">
        <f t="shared" si="3"/>
        <v>1020</v>
      </c>
      <c r="O16" s="69">
        <v>8</v>
      </c>
      <c r="P16" s="53">
        <v>900</v>
      </c>
      <c r="Q16" s="68">
        <v>1350</v>
      </c>
    </row>
    <row r="17" spans="2:18" x14ac:dyDescent="0.3">
      <c r="B17" s="69">
        <v>9</v>
      </c>
      <c r="C17" s="5" t="s">
        <v>163</v>
      </c>
      <c r="D17" s="5">
        <v>6</v>
      </c>
      <c r="E17" s="5">
        <v>646</v>
      </c>
      <c r="F17" s="65">
        <f t="shared" si="0"/>
        <v>7</v>
      </c>
      <c r="G17" s="64">
        <f t="shared" si="1"/>
        <v>150</v>
      </c>
      <c r="H17" s="64">
        <f t="shared" si="2"/>
        <v>700</v>
      </c>
      <c r="I17" s="68">
        <f t="shared" si="3"/>
        <v>850</v>
      </c>
      <c r="O17" s="69">
        <v>9</v>
      </c>
      <c r="P17" s="53">
        <v>1000</v>
      </c>
      <c r="Q17" s="68">
        <v>1425</v>
      </c>
    </row>
    <row r="18" spans="2:18" ht="15" thickBot="1" x14ac:dyDescent="0.35">
      <c r="B18" s="69">
        <v>10</v>
      </c>
      <c r="C18" s="5" t="s">
        <v>163</v>
      </c>
      <c r="D18" s="5">
        <v>2</v>
      </c>
      <c r="E18" s="5">
        <v>486</v>
      </c>
      <c r="F18" s="65">
        <f t="shared" si="0"/>
        <v>7</v>
      </c>
      <c r="G18" s="64">
        <f t="shared" si="1"/>
        <v>150</v>
      </c>
      <c r="H18" s="64">
        <f t="shared" si="2"/>
        <v>300</v>
      </c>
      <c r="I18" s="68">
        <f t="shared" si="3"/>
        <v>450</v>
      </c>
      <c r="O18" s="67">
        <v>10</v>
      </c>
      <c r="P18" s="70">
        <v>1100</v>
      </c>
      <c r="Q18" s="63">
        <v>1550</v>
      </c>
    </row>
    <row r="19" spans="2:18" ht="15" customHeight="1" x14ac:dyDescent="0.3">
      <c r="B19" s="69">
        <v>11</v>
      </c>
      <c r="C19" s="5" t="s">
        <v>161</v>
      </c>
      <c r="D19" s="5">
        <v>9</v>
      </c>
      <c r="E19" s="5">
        <v>195</v>
      </c>
      <c r="F19" s="65">
        <f t="shared" si="0"/>
        <v>3</v>
      </c>
      <c r="G19" s="64">
        <f t="shared" si="1"/>
        <v>50</v>
      </c>
      <c r="H19" s="64">
        <f t="shared" si="2"/>
        <v>1425</v>
      </c>
      <c r="I19" s="68">
        <f t="shared" si="3"/>
        <v>1475</v>
      </c>
    </row>
    <row r="20" spans="2:18" x14ac:dyDescent="0.3">
      <c r="B20" s="69">
        <v>12</v>
      </c>
      <c r="C20" s="5" t="s">
        <v>163</v>
      </c>
      <c r="D20" s="5">
        <v>6</v>
      </c>
      <c r="E20" s="5">
        <v>374</v>
      </c>
      <c r="F20" s="65">
        <f t="shared" si="0"/>
        <v>5</v>
      </c>
      <c r="G20" s="64">
        <f t="shared" si="1"/>
        <v>75</v>
      </c>
      <c r="H20" s="64">
        <f t="shared" si="2"/>
        <v>700</v>
      </c>
      <c r="I20" s="68">
        <f t="shared" si="3"/>
        <v>775</v>
      </c>
      <c r="K20" s="188" t="s">
        <v>164</v>
      </c>
      <c r="L20" s="189"/>
      <c r="M20" s="189"/>
      <c r="N20" s="189"/>
      <c r="O20" s="189"/>
      <c r="P20" s="189"/>
      <c r="Q20" s="189"/>
      <c r="R20" s="190"/>
    </row>
    <row r="21" spans="2:18" x14ac:dyDescent="0.3">
      <c r="B21" s="69">
        <v>13</v>
      </c>
      <c r="C21" s="5" t="s">
        <v>163</v>
      </c>
      <c r="D21" s="5">
        <v>4</v>
      </c>
      <c r="E21" s="5">
        <v>74</v>
      </c>
      <c r="F21" s="65">
        <f t="shared" si="0"/>
        <v>2</v>
      </c>
      <c r="G21" s="64">
        <f t="shared" si="1"/>
        <v>30</v>
      </c>
      <c r="H21" s="64">
        <f t="shared" si="2"/>
        <v>500</v>
      </c>
      <c r="I21" s="68">
        <f t="shared" si="3"/>
        <v>530</v>
      </c>
      <c r="K21" s="191"/>
      <c r="L21" s="147"/>
      <c r="M21" s="147"/>
      <c r="N21" s="147"/>
      <c r="O21" s="147"/>
      <c r="P21" s="147"/>
      <c r="Q21" s="147"/>
      <c r="R21" s="192"/>
    </row>
    <row r="22" spans="2:18" ht="15" customHeight="1" x14ac:dyDescent="0.3">
      <c r="B22" s="69">
        <v>14</v>
      </c>
      <c r="C22" s="5" t="s">
        <v>163</v>
      </c>
      <c r="D22" s="5">
        <v>7</v>
      </c>
      <c r="E22" s="5">
        <v>17</v>
      </c>
      <c r="F22" s="65">
        <f t="shared" si="0"/>
        <v>1</v>
      </c>
      <c r="G22" s="64">
        <f t="shared" si="1"/>
        <v>20</v>
      </c>
      <c r="H22" s="64">
        <f t="shared" si="2"/>
        <v>800</v>
      </c>
      <c r="I22" s="68">
        <f t="shared" si="3"/>
        <v>820</v>
      </c>
      <c r="K22" s="191"/>
      <c r="L22" s="147"/>
      <c r="M22" s="147"/>
      <c r="N22" s="147"/>
      <c r="O22" s="147"/>
      <c r="P22" s="147"/>
      <c r="Q22" s="147"/>
      <c r="R22" s="192"/>
    </row>
    <row r="23" spans="2:18" x14ac:dyDescent="0.3">
      <c r="B23" s="69">
        <v>15</v>
      </c>
      <c r="C23" s="5" t="s">
        <v>163</v>
      </c>
      <c r="D23" s="5">
        <v>6</v>
      </c>
      <c r="E23" s="5">
        <v>822</v>
      </c>
      <c r="F23" s="65">
        <f t="shared" si="0"/>
        <v>8</v>
      </c>
      <c r="G23" s="64">
        <f t="shared" si="1"/>
        <v>400</v>
      </c>
      <c r="H23" s="64">
        <f t="shared" si="2"/>
        <v>700</v>
      </c>
      <c r="I23" s="68">
        <f t="shared" si="3"/>
        <v>1100</v>
      </c>
      <c r="K23" s="191"/>
      <c r="L23" s="147"/>
      <c r="M23" s="147"/>
      <c r="N23" s="147"/>
      <c r="O23" s="147"/>
      <c r="P23" s="147"/>
      <c r="Q23" s="147"/>
      <c r="R23" s="192"/>
    </row>
    <row r="24" spans="2:18" x14ac:dyDescent="0.3">
      <c r="B24" s="69">
        <v>16</v>
      </c>
      <c r="C24" s="5" t="s">
        <v>163</v>
      </c>
      <c r="D24" s="5">
        <v>9</v>
      </c>
      <c r="E24" s="5">
        <v>940</v>
      </c>
      <c r="F24" s="65">
        <f t="shared" si="0"/>
        <v>8</v>
      </c>
      <c r="G24" s="64">
        <f t="shared" si="1"/>
        <v>400</v>
      </c>
      <c r="H24" s="64">
        <f t="shared" si="2"/>
        <v>1000</v>
      </c>
      <c r="I24" s="68">
        <f t="shared" si="3"/>
        <v>1400</v>
      </c>
      <c r="K24" s="191"/>
      <c r="L24" s="147"/>
      <c r="M24" s="147"/>
      <c r="N24" s="147"/>
      <c r="O24" s="147"/>
      <c r="P24" s="147"/>
      <c r="Q24" s="147"/>
      <c r="R24" s="192"/>
    </row>
    <row r="25" spans="2:18" x14ac:dyDescent="0.3">
      <c r="B25" s="69">
        <v>17</v>
      </c>
      <c r="C25" s="5" t="s">
        <v>161</v>
      </c>
      <c r="D25" s="5">
        <v>4</v>
      </c>
      <c r="E25" s="5">
        <v>140</v>
      </c>
      <c r="F25" s="65">
        <f t="shared" si="0"/>
        <v>3</v>
      </c>
      <c r="G25" s="64">
        <f t="shared" si="1"/>
        <v>50</v>
      </c>
      <c r="H25" s="64">
        <f t="shared" si="2"/>
        <v>800</v>
      </c>
      <c r="I25" s="68">
        <f t="shared" si="3"/>
        <v>850</v>
      </c>
      <c r="K25" s="191"/>
      <c r="L25" s="147"/>
      <c r="M25" s="147"/>
      <c r="N25" s="147"/>
      <c r="O25" s="147"/>
      <c r="P25" s="147"/>
      <c r="Q25" s="147"/>
      <c r="R25" s="192"/>
    </row>
    <row r="26" spans="2:18" x14ac:dyDescent="0.3">
      <c r="B26" s="69">
        <v>18</v>
      </c>
      <c r="C26" s="5" t="s">
        <v>163</v>
      </c>
      <c r="D26" s="5">
        <v>3</v>
      </c>
      <c r="E26" s="5">
        <v>56</v>
      </c>
      <c r="F26" s="65">
        <f t="shared" si="0"/>
        <v>2</v>
      </c>
      <c r="G26" s="64">
        <f t="shared" si="1"/>
        <v>30</v>
      </c>
      <c r="H26" s="64">
        <f t="shared" si="2"/>
        <v>400</v>
      </c>
      <c r="I26" s="68">
        <f t="shared" si="3"/>
        <v>430</v>
      </c>
      <c r="K26" s="191"/>
      <c r="L26" s="147"/>
      <c r="M26" s="147"/>
      <c r="N26" s="147"/>
      <c r="O26" s="147"/>
      <c r="P26" s="147"/>
      <c r="Q26" s="147"/>
      <c r="R26" s="192"/>
    </row>
    <row r="27" spans="2:18" x14ac:dyDescent="0.3">
      <c r="B27" s="69">
        <v>19</v>
      </c>
      <c r="C27" s="5" t="s">
        <v>161</v>
      </c>
      <c r="D27" s="5">
        <v>10</v>
      </c>
      <c r="E27" s="5">
        <v>823</v>
      </c>
      <c r="F27" s="65">
        <f t="shared" si="0"/>
        <v>8</v>
      </c>
      <c r="G27" s="64">
        <f t="shared" si="1"/>
        <v>400</v>
      </c>
      <c r="H27" s="64">
        <f t="shared" si="2"/>
        <v>1550</v>
      </c>
      <c r="I27" s="68">
        <f t="shared" si="3"/>
        <v>1950</v>
      </c>
      <c r="K27" s="191"/>
      <c r="L27" s="147"/>
      <c r="M27" s="147"/>
      <c r="N27" s="147"/>
      <c r="O27" s="147"/>
      <c r="P27" s="147"/>
      <c r="Q27" s="147"/>
      <c r="R27" s="192"/>
    </row>
    <row r="28" spans="2:18" ht="15" customHeight="1" x14ac:dyDescent="0.3">
      <c r="B28" s="69">
        <v>20</v>
      </c>
      <c r="C28" s="5" t="s">
        <v>163</v>
      </c>
      <c r="D28" s="5">
        <v>2</v>
      </c>
      <c r="E28" s="5">
        <v>705</v>
      </c>
      <c r="F28" s="65">
        <f t="shared" si="0"/>
        <v>7</v>
      </c>
      <c r="G28" s="64">
        <f t="shared" si="1"/>
        <v>150</v>
      </c>
      <c r="H28" s="64">
        <f t="shared" si="2"/>
        <v>300</v>
      </c>
      <c r="I28" s="68">
        <f t="shared" si="3"/>
        <v>450</v>
      </c>
      <c r="K28" s="191"/>
      <c r="L28" s="147"/>
      <c r="M28" s="147"/>
      <c r="N28" s="147"/>
      <c r="O28" s="147"/>
      <c r="P28" s="147"/>
      <c r="Q28" s="147"/>
      <c r="R28" s="192"/>
    </row>
    <row r="29" spans="2:18" ht="15" customHeight="1" x14ac:dyDescent="0.3">
      <c r="B29" s="69">
        <v>21</v>
      </c>
      <c r="C29" s="5" t="s">
        <v>161</v>
      </c>
      <c r="D29" s="5">
        <v>7</v>
      </c>
      <c r="E29" s="5">
        <v>54</v>
      </c>
      <c r="F29" s="65">
        <f t="shared" si="0"/>
        <v>2</v>
      </c>
      <c r="G29" s="64">
        <f t="shared" si="1"/>
        <v>30</v>
      </c>
      <c r="H29" s="64">
        <f t="shared" si="2"/>
        <v>1200</v>
      </c>
      <c r="I29" s="68">
        <f t="shared" si="3"/>
        <v>1230</v>
      </c>
      <c r="K29" s="191"/>
      <c r="L29" s="147"/>
      <c r="M29" s="147"/>
      <c r="N29" s="147"/>
      <c r="O29" s="147"/>
      <c r="P29" s="147"/>
      <c r="Q29" s="147"/>
      <c r="R29" s="192"/>
    </row>
    <row r="30" spans="2:18" x14ac:dyDescent="0.3">
      <c r="B30" s="69">
        <v>22</v>
      </c>
      <c r="C30" s="5" t="s">
        <v>161</v>
      </c>
      <c r="D30" s="5">
        <v>3</v>
      </c>
      <c r="E30" s="5">
        <v>35</v>
      </c>
      <c r="F30" s="65">
        <f t="shared" si="0"/>
        <v>1</v>
      </c>
      <c r="G30" s="64">
        <f t="shared" si="1"/>
        <v>20</v>
      </c>
      <c r="H30" s="64">
        <f t="shared" si="2"/>
        <v>700</v>
      </c>
      <c r="I30" s="68">
        <f t="shared" si="3"/>
        <v>720</v>
      </c>
      <c r="K30" s="193"/>
      <c r="L30" s="194"/>
      <c r="M30" s="194"/>
      <c r="N30" s="194"/>
      <c r="O30" s="194"/>
      <c r="P30" s="194"/>
      <c r="Q30" s="194"/>
      <c r="R30" s="195"/>
    </row>
    <row r="31" spans="2:18" ht="15" customHeight="1" x14ac:dyDescent="0.3">
      <c r="B31" s="69">
        <v>23</v>
      </c>
      <c r="C31" s="5" t="s">
        <v>161</v>
      </c>
      <c r="D31" s="5">
        <v>4</v>
      </c>
      <c r="E31" s="5">
        <v>684</v>
      </c>
      <c r="F31" s="65">
        <f t="shared" si="0"/>
        <v>7</v>
      </c>
      <c r="G31" s="64">
        <f t="shared" si="1"/>
        <v>150</v>
      </c>
      <c r="H31" s="64">
        <f t="shared" si="2"/>
        <v>800</v>
      </c>
      <c r="I31" s="68">
        <f t="shared" si="3"/>
        <v>950</v>
      </c>
    </row>
    <row r="32" spans="2:18" x14ac:dyDescent="0.3">
      <c r="B32" s="69">
        <v>24</v>
      </c>
      <c r="C32" s="5" t="s">
        <v>161</v>
      </c>
      <c r="D32" s="5">
        <v>9</v>
      </c>
      <c r="E32" s="5">
        <v>60</v>
      </c>
      <c r="F32" s="65">
        <f t="shared" si="0"/>
        <v>2</v>
      </c>
      <c r="G32" s="64">
        <f t="shared" si="1"/>
        <v>30</v>
      </c>
      <c r="H32" s="64">
        <f t="shared" si="2"/>
        <v>1425</v>
      </c>
      <c r="I32" s="68">
        <f t="shared" si="3"/>
        <v>1455</v>
      </c>
    </row>
    <row r="33" spans="2:9" ht="15" thickBot="1" x14ac:dyDescent="0.35">
      <c r="B33" s="67">
        <v>25</v>
      </c>
      <c r="C33" s="66" t="s">
        <v>161</v>
      </c>
      <c r="D33" s="66">
        <v>6</v>
      </c>
      <c r="E33" s="66">
        <v>86</v>
      </c>
      <c r="F33" s="65">
        <f t="shared" si="0"/>
        <v>2</v>
      </c>
      <c r="G33" s="64">
        <f t="shared" si="1"/>
        <v>30</v>
      </c>
      <c r="H33" s="64">
        <f t="shared" si="2"/>
        <v>1100</v>
      </c>
      <c r="I33" s="63">
        <f t="shared" si="3"/>
        <v>1130</v>
      </c>
    </row>
    <row r="35" spans="2:9" ht="15" customHeight="1" x14ac:dyDescent="0.3"/>
    <row r="36" spans="2:9" ht="15" customHeight="1" x14ac:dyDescent="0.3"/>
    <row r="37" spans="2:9" ht="15" customHeight="1" x14ac:dyDescent="0.3"/>
    <row r="39" spans="2:9" ht="15" customHeight="1" x14ac:dyDescent="0.3"/>
    <row r="45" spans="2:9" ht="15" customHeight="1" x14ac:dyDescent="0.3"/>
  </sheetData>
  <mergeCells count="4">
    <mergeCell ref="B2:Q6"/>
    <mergeCell ref="K8:M8"/>
    <mergeCell ref="O8:Q8"/>
    <mergeCell ref="K20:R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D5647-A48E-4C4F-86A9-9BB1D28CA499}">
  <dimension ref="B1:K72"/>
  <sheetViews>
    <sheetView workbookViewId="0">
      <selection activeCell="J19" sqref="J19"/>
    </sheetView>
  </sheetViews>
  <sheetFormatPr defaultRowHeight="14.4" x14ac:dyDescent="0.3"/>
  <cols>
    <col min="1" max="1" width="9.77734375" bestFit="1" customWidth="1"/>
    <col min="2" max="2" width="18.109375" bestFit="1" customWidth="1"/>
    <col min="3" max="3" width="26.21875" bestFit="1" customWidth="1"/>
    <col min="7" max="9" width="9.109375" customWidth="1"/>
    <col min="10" max="10" width="11.44140625" bestFit="1" customWidth="1"/>
    <col min="11" max="11" width="59.33203125" bestFit="1" customWidth="1"/>
  </cols>
  <sheetData>
    <row r="1" spans="2:11" ht="15" thickBot="1" x14ac:dyDescent="0.35"/>
    <row r="2" spans="2:11" ht="15" customHeight="1" x14ac:dyDescent="0.3">
      <c r="B2" s="143" t="s">
        <v>165</v>
      </c>
      <c r="C2" s="144"/>
      <c r="D2" s="144"/>
      <c r="E2" s="144"/>
      <c r="F2" s="144"/>
      <c r="G2" s="144"/>
      <c r="H2" s="144"/>
      <c r="I2" s="144"/>
      <c r="J2" s="144"/>
      <c r="K2" s="145"/>
    </row>
    <row r="3" spans="2:11" x14ac:dyDescent="0.3">
      <c r="B3" s="146"/>
      <c r="C3" s="147"/>
      <c r="D3" s="147"/>
      <c r="E3" s="147"/>
      <c r="F3" s="147"/>
      <c r="G3" s="147"/>
      <c r="H3" s="147"/>
      <c r="I3" s="147"/>
      <c r="J3" s="147"/>
      <c r="K3" s="148"/>
    </row>
    <row r="4" spans="2:11" x14ac:dyDescent="0.3">
      <c r="B4" s="146"/>
      <c r="C4" s="147"/>
      <c r="D4" s="147"/>
      <c r="E4" s="147"/>
      <c r="F4" s="147"/>
      <c r="G4" s="147"/>
      <c r="H4" s="147"/>
      <c r="I4" s="147"/>
      <c r="J4" s="147"/>
      <c r="K4" s="148"/>
    </row>
    <row r="5" spans="2:11" ht="15" thickBot="1" x14ac:dyDescent="0.35">
      <c r="B5" s="149"/>
      <c r="C5" s="150"/>
      <c r="D5" s="150"/>
      <c r="E5" s="150"/>
      <c r="F5" s="150"/>
      <c r="G5" s="150"/>
      <c r="H5" s="150"/>
      <c r="I5" s="150"/>
      <c r="J5" s="150"/>
      <c r="K5" s="151"/>
    </row>
    <row r="6" spans="2:11" x14ac:dyDescent="0.3">
      <c r="B6" s="140"/>
      <c r="C6" s="140"/>
      <c r="D6" s="140"/>
      <c r="E6" s="140"/>
      <c r="F6" s="140"/>
      <c r="G6" s="140"/>
      <c r="H6" s="140"/>
      <c r="I6" s="140"/>
      <c r="J6" s="140"/>
      <c r="K6" s="140"/>
    </row>
    <row r="7" spans="2:11" x14ac:dyDescent="0.3">
      <c r="B7" s="1" t="s">
        <v>166</v>
      </c>
      <c r="C7" s="142" t="s">
        <v>167</v>
      </c>
      <c r="D7" s="142"/>
      <c r="E7" s="142"/>
      <c r="F7" s="142"/>
      <c r="G7" s="142"/>
      <c r="H7" s="135"/>
    </row>
    <row r="8" spans="2:11" x14ac:dyDescent="0.3">
      <c r="B8" s="1" t="s">
        <v>168</v>
      </c>
      <c r="C8" s="134">
        <f>LEN(C7)</f>
        <v>60</v>
      </c>
    </row>
    <row r="9" spans="2:11" ht="15" customHeight="1" x14ac:dyDescent="0.3">
      <c r="B9" s="1" t="s">
        <v>169</v>
      </c>
      <c r="C9" s="134">
        <f>SEARCH("#",C7)</f>
        <v>17</v>
      </c>
      <c r="E9" s="196" t="s">
        <v>170</v>
      </c>
      <c r="F9" s="197"/>
      <c r="G9" s="197"/>
      <c r="H9" s="197"/>
      <c r="I9" s="198"/>
    </row>
    <row r="10" spans="2:11" ht="15" customHeight="1" x14ac:dyDescent="0.3">
      <c r="B10" s="1" t="s">
        <v>171</v>
      </c>
      <c r="C10" s="134" t="str">
        <f>LEFT(C7,C9-1)</f>
        <v xml:space="preserve">Employee number </v>
      </c>
      <c r="E10" s="199"/>
      <c r="F10" s="200"/>
      <c r="G10" s="200"/>
      <c r="H10" s="200"/>
      <c r="I10" s="201"/>
    </row>
    <row r="11" spans="2:11" x14ac:dyDescent="0.3">
      <c r="B11" s="1" t="s">
        <v>172</v>
      </c>
      <c r="C11" s="134">
        <f>SEARCH(" HH",C7)</f>
        <v>45</v>
      </c>
      <c r="E11" s="202"/>
      <c r="F11" s="203"/>
      <c r="G11" s="203"/>
      <c r="H11" s="203"/>
      <c r="I11" s="204"/>
    </row>
    <row r="12" spans="2:11" x14ac:dyDescent="0.3">
      <c r="B12" s="1" t="s">
        <v>173</v>
      </c>
      <c r="C12" s="134" t="str">
        <f>MID(C7,C9+1,C11-C9)</f>
        <v xml:space="preserve"> entered the server room at </v>
      </c>
    </row>
    <row r="13" spans="2:11" x14ac:dyDescent="0.3">
      <c r="B13" s="1" t="s">
        <v>174</v>
      </c>
      <c r="C13" s="134" t="str">
        <f>RIGHT(C7,7)</f>
        <v xml:space="preserve"> today.</v>
      </c>
    </row>
    <row r="14" spans="2:11" ht="15" thickBot="1" x14ac:dyDescent="0.35"/>
    <row r="15" spans="2:11" ht="15" thickBot="1" x14ac:dyDescent="0.35">
      <c r="B15" s="1"/>
      <c r="G15" s="156" t="s">
        <v>175</v>
      </c>
      <c r="H15" s="157"/>
      <c r="I15" s="158"/>
    </row>
    <row r="16" spans="2:11" x14ac:dyDescent="0.3">
      <c r="B16" s="137" t="s">
        <v>176</v>
      </c>
      <c r="C16" s="138" t="s">
        <v>177</v>
      </c>
      <c r="D16" s="138" t="s">
        <v>178</v>
      </c>
      <c r="E16" s="138" t="s">
        <v>179</v>
      </c>
      <c r="F16" s="138" t="s">
        <v>180</v>
      </c>
      <c r="G16" s="62" t="s">
        <v>178</v>
      </c>
      <c r="H16" s="62" t="s">
        <v>179</v>
      </c>
      <c r="I16" s="62" t="s">
        <v>180</v>
      </c>
      <c r="J16" s="138" t="s">
        <v>181</v>
      </c>
      <c r="K16" s="139" t="s">
        <v>182</v>
      </c>
    </row>
    <row r="17" spans="2:11" ht="15" customHeight="1" x14ac:dyDescent="0.3">
      <c r="B17" s="75">
        <v>18</v>
      </c>
      <c r="C17" s="11">
        <v>3.6830000000000002E-2</v>
      </c>
      <c r="D17" s="65">
        <f t="shared" ref="D17:D48" si="0">HOUR(C17)</f>
        <v>0</v>
      </c>
      <c r="E17" s="65">
        <f t="shared" ref="E17:E48" si="1">MINUTE(C17)</f>
        <v>53</v>
      </c>
      <c r="F17" s="65">
        <f t="shared" ref="F17:F48" si="2">SECOND(C17)</f>
        <v>2</v>
      </c>
      <c r="G17" s="11" t="s">
        <v>183</v>
      </c>
      <c r="H17" s="11">
        <v>53</v>
      </c>
      <c r="I17" s="11" t="s">
        <v>184</v>
      </c>
      <c r="J17" s="65" t="str">
        <f t="shared" ref="J17:J48" si="3">CONCATENATE(G17,":",H17,":",I17)</f>
        <v>00:53:02</v>
      </c>
      <c r="K17" s="57" t="str">
        <f t="shared" ref="K17:K48" si="4">CONCATENATE(C$10,B17,C$12,J17,C$13)</f>
        <v>Employee number 18 entered the server room at 00:53:02 today.</v>
      </c>
    </row>
    <row r="18" spans="2:11" x14ac:dyDescent="0.3">
      <c r="B18" s="69">
        <v>43</v>
      </c>
      <c r="C18" s="5">
        <v>7.7350000000000002E-2</v>
      </c>
      <c r="D18" s="65">
        <f t="shared" si="0"/>
        <v>1</v>
      </c>
      <c r="E18" s="65">
        <f t="shared" si="1"/>
        <v>51</v>
      </c>
      <c r="F18" s="65">
        <f t="shared" si="2"/>
        <v>23</v>
      </c>
      <c r="G18" s="5" t="s">
        <v>185</v>
      </c>
      <c r="H18" s="5">
        <v>51</v>
      </c>
      <c r="I18" s="5">
        <v>23</v>
      </c>
      <c r="J18" s="65" t="str">
        <f t="shared" si="3"/>
        <v>01:51:23</v>
      </c>
      <c r="K18" s="57" t="str">
        <f t="shared" si="4"/>
        <v>Employee number 43 entered the server room at 01:51:23 today.</v>
      </c>
    </row>
    <row r="19" spans="2:11" x14ac:dyDescent="0.3">
      <c r="B19" s="69">
        <v>47</v>
      </c>
      <c r="C19" s="5">
        <v>7.8509999999999996E-2</v>
      </c>
      <c r="D19" s="65">
        <f t="shared" si="0"/>
        <v>1</v>
      </c>
      <c r="E19" s="65">
        <f t="shared" si="1"/>
        <v>53</v>
      </c>
      <c r="F19" s="65">
        <f t="shared" si="2"/>
        <v>3</v>
      </c>
      <c r="G19" s="5" t="s">
        <v>185</v>
      </c>
      <c r="H19" s="5">
        <v>53</v>
      </c>
      <c r="I19" s="5" t="s">
        <v>186</v>
      </c>
      <c r="J19" s="65" t="str">
        <f t="shared" si="3"/>
        <v>01:53:03</v>
      </c>
      <c r="K19" s="57" t="str">
        <f t="shared" si="4"/>
        <v>Employee number 47 entered the server room at 01:53:03 today.</v>
      </c>
    </row>
    <row r="20" spans="2:11" x14ac:dyDescent="0.3">
      <c r="B20" s="69">
        <v>33</v>
      </c>
      <c r="C20" s="5">
        <v>0.11561</v>
      </c>
      <c r="D20" s="65">
        <f t="shared" si="0"/>
        <v>2</v>
      </c>
      <c r="E20" s="65">
        <f t="shared" si="1"/>
        <v>46</v>
      </c>
      <c r="F20" s="65">
        <f t="shared" si="2"/>
        <v>29</v>
      </c>
      <c r="G20" s="5" t="s">
        <v>184</v>
      </c>
      <c r="H20" s="5">
        <v>46</v>
      </c>
      <c r="I20" s="5">
        <v>29</v>
      </c>
      <c r="J20" s="65" t="str">
        <f t="shared" si="3"/>
        <v>02:46:29</v>
      </c>
      <c r="K20" s="57" t="str">
        <f t="shared" si="4"/>
        <v>Employee number 33 entered the server room at 02:46:29 today.</v>
      </c>
    </row>
    <row r="21" spans="2:11" ht="15" customHeight="1" x14ac:dyDescent="0.3">
      <c r="B21" s="69">
        <v>9</v>
      </c>
      <c r="C21" s="5">
        <v>0.12751000000000001</v>
      </c>
      <c r="D21" s="65">
        <f t="shared" si="0"/>
        <v>3</v>
      </c>
      <c r="E21" s="65">
        <f t="shared" si="1"/>
        <v>3</v>
      </c>
      <c r="F21" s="65">
        <f t="shared" si="2"/>
        <v>37</v>
      </c>
      <c r="G21" s="5" t="s">
        <v>186</v>
      </c>
      <c r="H21" s="5" t="s">
        <v>186</v>
      </c>
      <c r="I21" s="5">
        <v>37</v>
      </c>
      <c r="J21" s="65" t="str">
        <f t="shared" si="3"/>
        <v>03:03:37</v>
      </c>
      <c r="K21" s="57" t="str">
        <f t="shared" si="4"/>
        <v>Employee number 9 entered the server room at 03:03:37 today.</v>
      </c>
    </row>
    <row r="22" spans="2:11" x14ac:dyDescent="0.3">
      <c r="B22" s="69">
        <v>40</v>
      </c>
      <c r="C22" s="5">
        <v>0.13392999999999999</v>
      </c>
      <c r="D22" s="65">
        <f t="shared" si="0"/>
        <v>3</v>
      </c>
      <c r="E22" s="65">
        <f t="shared" si="1"/>
        <v>12</v>
      </c>
      <c r="F22" s="65">
        <f t="shared" si="2"/>
        <v>52</v>
      </c>
      <c r="G22" s="5" t="s">
        <v>186</v>
      </c>
      <c r="H22" s="5">
        <v>12</v>
      </c>
      <c r="I22" s="5">
        <v>52</v>
      </c>
      <c r="J22" s="65" t="str">
        <f t="shared" si="3"/>
        <v>03:12:52</v>
      </c>
      <c r="K22" s="57" t="str">
        <f t="shared" si="4"/>
        <v>Employee number 40 entered the server room at 03:12:52 today.</v>
      </c>
    </row>
    <row r="23" spans="2:11" x14ac:dyDescent="0.3">
      <c r="B23" s="69">
        <v>31</v>
      </c>
      <c r="C23" s="5">
        <v>0.15009</v>
      </c>
      <c r="D23" s="65">
        <f t="shared" si="0"/>
        <v>3</v>
      </c>
      <c r="E23" s="65">
        <f t="shared" si="1"/>
        <v>36</v>
      </c>
      <c r="F23" s="65">
        <f t="shared" si="2"/>
        <v>8</v>
      </c>
      <c r="G23" s="5" t="s">
        <v>186</v>
      </c>
      <c r="H23" s="5">
        <v>36</v>
      </c>
      <c r="I23" s="5" t="s">
        <v>187</v>
      </c>
      <c r="J23" s="65" t="str">
        <f t="shared" si="3"/>
        <v>03:36:08</v>
      </c>
      <c r="K23" s="57" t="str">
        <f t="shared" si="4"/>
        <v>Employee number 31 entered the server room at 03:36:08 today.</v>
      </c>
    </row>
    <row r="24" spans="2:11" x14ac:dyDescent="0.3">
      <c r="B24" s="69">
        <v>35</v>
      </c>
      <c r="C24" s="5">
        <v>0.15765000000000001</v>
      </c>
      <c r="D24" s="65">
        <f t="shared" si="0"/>
        <v>3</v>
      </c>
      <c r="E24" s="65">
        <f t="shared" si="1"/>
        <v>47</v>
      </c>
      <c r="F24" s="65">
        <f t="shared" si="2"/>
        <v>1</v>
      </c>
      <c r="G24" s="5" t="s">
        <v>186</v>
      </c>
      <c r="H24" s="5">
        <v>47</v>
      </c>
      <c r="I24" s="5" t="s">
        <v>185</v>
      </c>
      <c r="J24" s="65" t="str">
        <f t="shared" si="3"/>
        <v>03:47:01</v>
      </c>
      <c r="K24" s="57" t="str">
        <f t="shared" si="4"/>
        <v>Employee number 35 entered the server room at 03:47:01 today.</v>
      </c>
    </row>
    <row r="25" spans="2:11" x14ac:dyDescent="0.3">
      <c r="B25" s="69">
        <v>34</v>
      </c>
      <c r="C25" s="5">
        <v>0.15890000000000001</v>
      </c>
      <c r="D25" s="65">
        <f t="shared" si="0"/>
        <v>3</v>
      </c>
      <c r="E25" s="65">
        <f t="shared" si="1"/>
        <v>48</v>
      </c>
      <c r="F25" s="65">
        <f t="shared" si="2"/>
        <v>49</v>
      </c>
      <c r="G25" s="5" t="s">
        <v>186</v>
      </c>
      <c r="H25" s="5">
        <v>48</v>
      </c>
      <c r="I25" s="5">
        <v>49</v>
      </c>
      <c r="J25" s="65" t="str">
        <f t="shared" si="3"/>
        <v>03:48:49</v>
      </c>
      <c r="K25" s="57" t="str">
        <f t="shared" si="4"/>
        <v>Employee number 34 entered the server room at 03:48:49 today.</v>
      </c>
    </row>
    <row r="26" spans="2:11" x14ac:dyDescent="0.3">
      <c r="B26" s="69">
        <v>7</v>
      </c>
      <c r="C26" s="5">
        <v>0.16495000000000001</v>
      </c>
      <c r="D26" s="65">
        <f t="shared" si="0"/>
        <v>3</v>
      </c>
      <c r="E26" s="65">
        <f t="shared" si="1"/>
        <v>57</v>
      </c>
      <c r="F26" s="65">
        <f t="shared" si="2"/>
        <v>32</v>
      </c>
      <c r="G26" s="5" t="s">
        <v>186</v>
      </c>
      <c r="H26" s="5">
        <v>57</v>
      </c>
      <c r="I26" s="5">
        <v>32</v>
      </c>
      <c r="J26" s="65" t="str">
        <f t="shared" si="3"/>
        <v>03:57:32</v>
      </c>
      <c r="K26" s="57" t="str">
        <f t="shared" si="4"/>
        <v>Employee number 7 entered the server room at 03:57:32 today.</v>
      </c>
    </row>
    <row r="27" spans="2:11" x14ac:dyDescent="0.3">
      <c r="B27" s="69">
        <v>14</v>
      </c>
      <c r="C27" s="5">
        <v>0.17773</v>
      </c>
      <c r="D27" s="65">
        <f t="shared" si="0"/>
        <v>4</v>
      </c>
      <c r="E27" s="65">
        <f t="shared" si="1"/>
        <v>15</v>
      </c>
      <c r="F27" s="65">
        <f t="shared" si="2"/>
        <v>56</v>
      </c>
      <c r="G27" s="5" t="s">
        <v>188</v>
      </c>
      <c r="H27" s="5">
        <v>15</v>
      </c>
      <c r="I27" s="5">
        <v>56</v>
      </c>
      <c r="J27" s="65" t="str">
        <f t="shared" si="3"/>
        <v>04:15:56</v>
      </c>
      <c r="K27" s="57" t="str">
        <f t="shared" si="4"/>
        <v>Employee number 14 entered the server room at 04:15:56 today.</v>
      </c>
    </row>
    <row r="28" spans="2:11" x14ac:dyDescent="0.3">
      <c r="B28" s="69">
        <v>32</v>
      </c>
      <c r="C28" s="5">
        <v>0.19499</v>
      </c>
      <c r="D28" s="65">
        <f t="shared" si="0"/>
        <v>4</v>
      </c>
      <c r="E28" s="65">
        <f t="shared" si="1"/>
        <v>40</v>
      </c>
      <c r="F28" s="65">
        <f t="shared" si="2"/>
        <v>47</v>
      </c>
      <c r="G28" s="5" t="s">
        <v>188</v>
      </c>
      <c r="H28" s="5">
        <v>40</v>
      </c>
      <c r="I28" s="5">
        <v>47</v>
      </c>
      <c r="J28" s="65" t="str">
        <f t="shared" si="3"/>
        <v>04:40:47</v>
      </c>
      <c r="K28" s="57" t="str">
        <f t="shared" si="4"/>
        <v>Employee number 32 entered the server room at 04:40:47 today.</v>
      </c>
    </row>
    <row r="29" spans="2:11" x14ac:dyDescent="0.3">
      <c r="B29" s="69">
        <v>26</v>
      </c>
      <c r="C29" s="5">
        <v>0.20724000000000001</v>
      </c>
      <c r="D29" s="65">
        <f t="shared" si="0"/>
        <v>4</v>
      </c>
      <c r="E29" s="65">
        <f t="shared" si="1"/>
        <v>58</v>
      </c>
      <c r="F29" s="65">
        <f t="shared" si="2"/>
        <v>26</v>
      </c>
      <c r="G29" s="5" t="s">
        <v>188</v>
      </c>
      <c r="H29" s="5">
        <v>58</v>
      </c>
      <c r="I29" s="5">
        <v>26</v>
      </c>
      <c r="J29" s="65" t="str">
        <f t="shared" si="3"/>
        <v>04:58:26</v>
      </c>
      <c r="K29" s="57" t="str">
        <f t="shared" si="4"/>
        <v>Employee number 26 entered the server room at 04:58:26 today.</v>
      </c>
    </row>
    <row r="30" spans="2:11" ht="15" customHeight="1" x14ac:dyDescent="0.3">
      <c r="B30" s="69">
        <v>31</v>
      </c>
      <c r="C30" s="5">
        <v>0.22585</v>
      </c>
      <c r="D30" s="65">
        <f t="shared" si="0"/>
        <v>5</v>
      </c>
      <c r="E30" s="65">
        <f t="shared" si="1"/>
        <v>25</v>
      </c>
      <c r="F30" s="65">
        <f t="shared" si="2"/>
        <v>13</v>
      </c>
      <c r="G30" s="5" t="s">
        <v>189</v>
      </c>
      <c r="H30" s="5">
        <v>25</v>
      </c>
      <c r="I30" s="5">
        <v>13</v>
      </c>
      <c r="J30" s="65" t="str">
        <f t="shared" si="3"/>
        <v>05:25:13</v>
      </c>
      <c r="K30" s="57" t="str">
        <f t="shared" si="4"/>
        <v>Employee number 31 entered the server room at 05:25:13 today.</v>
      </c>
    </row>
    <row r="31" spans="2:11" x14ac:dyDescent="0.3">
      <c r="B31" s="69">
        <v>2</v>
      </c>
      <c r="C31" s="5">
        <v>0.23963000000000001</v>
      </c>
      <c r="D31" s="65">
        <f t="shared" si="0"/>
        <v>5</v>
      </c>
      <c r="E31" s="65">
        <f t="shared" si="1"/>
        <v>45</v>
      </c>
      <c r="F31" s="65">
        <f t="shared" si="2"/>
        <v>4</v>
      </c>
      <c r="G31" s="5" t="s">
        <v>189</v>
      </c>
      <c r="H31" s="5">
        <v>45</v>
      </c>
      <c r="I31" s="5" t="s">
        <v>188</v>
      </c>
      <c r="J31" s="65" t="str">
        <f t="shared" si="3"/>
        <v>05:45:04</v>
      </c>
      <c r="K31" s="57" t="str">
        <f t="shared" si="4"/>
        <v>Employee number 2 entered the server room at 05:45:04 today.</v>
      </c>
    </row>
    <row r="32" spans="2:11" x14ac:dyDescent="0.3">
      <c r="B32" s="69">
        <v>49</v>
      </c>
      <c r="C32" s="5">
        <v>0.26751999999999998</v>
      </c>
      <c r="D32" s="65">
        <f t="shared" si="0"/>
        <v>6</v>
      </c>
      <c r="E32" s="65">
        <f t="shared" si="1"/>
        <v>25</v>
      </c>
      <c r="F32" s="65">
        <f t="shared" si="2"/>
        <v>14</v>
      </c>
      <c r="G32" s="5" t="s">
        <v>190</v>
      </c>
      <c r="H32" s="5">
        <v>25</v>
      </c>
      <c r="I32" s="5">
        <v>14</v>
      </c>
      <c r="J32" s="65" t="str">
        <f t="shared" si="3"/>
        <v>06:25:14</v>
      </c>
      <c r="K32" s="57" t="str">
        <f t="shared" si="4"/>
        <v>Employee number 49 entered the server room at 06:25:14 today.</v>
      </c>
    </row>
    <row r="33" spans="2:11" x14ac:dyDescent="0.3">
      <c r="B33" s="69">
        <v>1</v>
      </c>
      <c r="C33" s="5">
        <v>0.27961000000000003</v>
      </c>
      <c r="D33" s="65">
        <f t="shared" si="0"/>
        <v>6</v>
      </c>
      <c r="E33" s="65">
        <f t="shared" si="1"/>
        <v>42</v>
      </c>
      <c r="F33" s="65">
        <f t="shared" si="2"/>
        <v>38</v>
      </c>
      <c r="G33" s="5" t="s">
        <v>190</v>
      </c>
      <c r="H33" s="5">
        <v>42</v>
      </c>
      <c r="I33" s="5">
        <v>38</v>
      </c>
      <c r="J33" s="65" t="str">
        <f t="shared" si="3"/>
        <v>06:42:38</v>
      </c>
      <c r="K33" s="57" t="str">
        <f t="shared" si="4"/>
        <v>Employee number 1 entered the server room at 06:42:38 today.</v>
      </c>
    </row>
    <row r="34" spans="2:11" x14ac:dyDescent="0.3">
      <c r="B34" s="69">
        <v>23</v>
      </c>
      <c r="C34" s="5">
        <v>0.29132000000000002</v>
      </c>
      <c r="D34" s="65">
        <f t="shared" si="0"/>
        <v>6</v>
      </c>
      <c r="E34" s="65">
        <f t="shared" si="1"/>
        <v>59</v>
      </c>
      <c r="F34" s="65">
        <f t="shared" si="2"/>
        <v>30</v>
      </c>
      <c r="G34" s="5" t="s">
        <v>190</v>
      </c>
      <c r="H34" s="5">
        <v>59</v>
      </c>
      <c r="I34" s="5">
        <v>30</v>
      </c>
      <c r="J34" s="65" t="str">
        <f t="shared" si="3"/>
        <v>06:59:30</v>
      </c>
      <c r="K34" s="57" t="str">
        <f t="shared" si="4"/>
        <v>Employee number 23 entered the server room at 06:59:30 today.</v>
      </c>
    </row>
    <row r="35" spans="2:11" x14ac:dyDescent="0.3">
      <c r="B35" s="69">
        <v>3</v>
      </c>
      <c r="C35" s="5">
        <v>0.34089000000000003</v>
      </c>
      <c r="D35" s="65">
        <f t="shared" si="0"/>
        <v>8</v>
      </c>
      <c r="E35" s="65">
        <f t="shared" si="1"/>
        <v>10</v>
      </c>
      <c r="F35" s="65">
        <f t="shared" si="2"/>
        <v>53</v>
      </c>
      <c r="G35" s="5" t="s">
        <v>187</v>
      </c>
      <c r="H35" s="5">
        <v>10</v>
      </c>
      <c r="I35" s="5">
        <v>53</v>
      </c>
      <c r="J35" s="65" t="str">
        <f t="shared" si="3"/>
        <v>08:10:53</v>
      </c>
      <c r="K35" s="57" t="str">
        <f t="shared" si="4"/>
        <v>Employee number 3 entered the server room at 08:10:53 today.</v>
      </c>
    </row>
    <row r="36" spans="2:11" x14ac:dyDescent="0.3">
      <c r="B36" s="69">
        <v>5</v>
      </c>
      <c r="C36" s="5">
        <v>0.34755999999999998</v>
      </c>
      <c r="D36" s="65">
        <f t="shared" si="0"/>
        <v>8</v>
      </c>
      <c r="E36" s="65">
        <f t="shared" si="1"/>
        <v>20</v>
      </c>
      <c r="F36" s="65">
        <f t="shared" si="2"/>
        <v>29</v>
      </c>
      <c r="G36" s="5" t="s">
        <v>187</v>
      </c>
      <c r="H36" s="5">
        <v>20</v>
      </c>
      <c r="I36" s="5">
        <v>29</v>
      </c>
      <c r="J36" s="65" t="str">
        <f t="shared" si="3"/>
        <v>08:20:29</v>
      </c>
      <c r="K36" s="57" t="str">
        <f t="shared" si="4"/>
        <v>Employee number 5 entered the server room at 08:20:29 today.</v>
      </c>
    </row>
    <row r="37" spans="2:11" x14ac:dyDescent="0.3">
      <c r="B37" s="69">
        <v>43</v>
      </c>
      <c r="C37" s="5">
        <v>0.36120999999999998</v>
      </c>
      <c r="D37" s="65">
        <f t="shared" si="0"/>
        <v>8</v>
      </c>
      <c r="E37" s="65">
        <f t="shared" si="1"/>
        <v>40</v>
      </c>
      <c r="F37" s="65">
        <f t="shared" si="2"/>
        <v>9</v>
      </c>
      <c r="G37" s="5" t="s">
        <v>187</v>
      </c>
      <c r="H37" s="5">
        <v>40</v>
      </c>
      <c r="I37" s="5" t="s">
        <v>191</v>
      </c>
      <c r="J37" s="65" t="str">
        <f t="shared" si="3"/>
        <v>08:40:09</v>
      </c>
      <c r="K37" s="57" t="str">
        <f t="shared" si="4"/>
        <v>Employee number 43 entered the server room at 08:40:09 today.</v>
      </c>
    </row>
    <row r="38" spans="2:11" x14ac:dyDescent="0.3">
      <c r="B38" s="69">
        <v>49</v>
      </c>
      <c r="C38" s="5">
        <v>0.47293000000000002</v>
      </c>
      <c r="D38" s="65">
        <f t="shared" si="0"/>
        <v>11</v>
      </c>
      <c r="E38" s="65">
        <f t="shared" si="1"/>
        <v>21</v>
      </c>
      <c r="F38" s="65">
        <f t="shared" si="2"/>
        <v>1</v>
      </c>
      <c r="G38" s="5">
        <v>11</v>
      </c>
      <c r="H38" s="5">
        <v>21</v>
      </c>
      <c r="I38" s="5" t="s">
        <v>185</v>
      </c>
      <c r="J38" s="65" t="str">
        <f t="shared" si="3"/>
        <v>11:21:01</v>
      </c>
      <c r="K38" s="57" t="str">
        <f t="shared" si="4"/>
        <v>Employee number 49 entered the server room at 11:21:01 today.</v>
      </c>
    </row>
    <row r="39" spans="2:11" x14ac:dyDescent="0.3">
      <c r="B39" s="69">
        <v>34</v>
      </c>
      <c r="C39" s="5">
        <v>0.47747000000000001</v>
      </c>
      <c r="D39" s="65">
        <f t="shared" si="0"/>
        <v>11</v>
      </c>
      <c r="E39" s="65">
        <f t="shared" si="1"/>
        <v>27</v>
      </c>
      <c r="F39" s="65">
        <f t="shared" si="2"/>
        <v>33</v>
      </c>
      <c r="G39" s="5">
        <v>11</v>
      </c>
      <c r="H39" s="5">
        <v>27</v>
      </c>
      <c r="I39" s="5">
        <v>33</v>
      </c>
      <c r="J39" s="65" t="str">
        <f t="shared" si="3"/>
        <v>11:27:33</v>
      </c>
      <c r="K39" s="57" t="str">
        <f t="shared" si="4"/>
        <v>Employee number 34 entered the server room at 11:27:33 today.</v>
      </c>
    </row>
    <row r="40" spans="2:11" x14ac:dyDescent="0.3">
      <c r="B40" s="69">
        <v>43</v>
      </c>
      <c r="C40" s="5">
        <v>0.50246000000000002</v>
      </c>
      <c r="D40" s="65">
        <f t="shared" si="0"/>
        <v>12</v>
      </c>
      <c r="E40" s="65">
        <f t="shared" si="1"/>
        <v>3</v>
      </c>
      <c r="F40" s="65">
        <f t="shared" si="2"/>
        <v>33</v>
      </c>
      <c r="G40" s="5">
        <v>12</v>
      </c>
      <c r="H40" s="5" t="s">
        <v>186</v>
      </c>
      <c r="I40" s="5">
        <v>33</v>
      </c>
      <c r="J40" s="65" t="str">
        <f t="shared" si="3"/>
        <v>12:03:33</v>
      </c>
      <c r="K40" s="57" t="str">
        <f t="shared" si="4"/>
        <v>Employee number 43 entered the server room at 12:03:33 today.</v>
      </c>
    </row>
    <row r="41" spans="2:11" x14ac:dyDescent="0.3">
      <c r="B41" s="69">
        <v>20</v>
      </c>
      <c r="C41" s="5">
        <v>0.50331000000000004</v>
      </c>
      <c r="D41" s="65">
        <f t="shared" si="0"/>
        <v>12</v>
      </c>
      <c r="E41" s="65">
        <f t="shared" si="1"/>
        <v>4</v>
      </c>
      <c r="F41" s="65">
        <f t="shared" si="2"/>
        <v>46</v>
      </c>
      <c r="G41" s="5">
        <v>12</v>
      </c>
      <c r="H41" s="5" t="s">
        <v>188</v>
      </c>
      <c r="I41" s="5">
        <v>46</v>
      </c>
      <c r="J41" s="65" t="str">
        <f t="shared" si="3"/>
        <v>12:04:46</v>
      </c>
      <c r="K41" s="57" t="str">
        <f t="shared" si="4"/>
        <v>Employee number 20 entered the server room at 12:04:46 today.</v>
      </c>
    </row>
    <row r="42" spans="2:11" x14ac:dyDescent="0.3">
      <c r="B42" s="69">
        <v>12</v>
      </c>
      <c r="C42" s="5">
        <v>0.51942999999999995</v>
      </c>
      <c r="D42" s="65">
        <f t="shared" si="0"/>
        <v>12</v>
      </c>
      <c r="E42" s="65">
        <f t="shared" si="1"/>
        <v>27</v>
      </c>
      <c r="F42" s="65">
        <f t="shared" si="2"/>
        <v>59</v>
      </c>
      <c r="G42" s="5">
        <v>12</v>
      </c>
      <c r="H42" s="5">
        <v>27</v>
      </c>
      <c r="I42" s="5">
        <v>59</v>
      </c>
      <c r="J42" s="65" t="str">
        <f t="shared" si="3"/>
        <v>12:27:59</v>
      </c>
      <c r="K42" s="57" t="str">
        <f t="shared" si="4"/>
        <v>Employee number 12 entered the server room at 12:27:59 today.</v>
      </c>
    </row>
    <row r="43" spans="2:11" x14ac:dyDescent="0.3">
      <c r="B43" s="69">
        <v>26</v>
      </c>
      <c r="C43" s="5">
        <v>0.53676000000000001</v>
      </c>
      <c r="D43" s="65">
        <f t="shared" si="0"/>
        <v>12</v>
      </c>
      <c r="E43" s="65">
        <f t="shared" si="1"/>
        <v>52</v>
      </c>
      <c r="F43" s="65">
        <f t="shared" si="2"/>
        <v>56</v>
      </c>
      <c r="G43" s="5">
        <v>12</v>
      </c>
      <c r="H43" s="5">
        <v>52</v>
      </c>
      <c r="I43" s="5">
        <v>56</v>
      </c>
      <c r="J43" s="65" t="str">
        <f t="shared" si="3"/>
        <v>12:52:56</v>
      </c>
      <c r="K43" s="57" t="str">
        <f t="shared" si="4"/>
        <v>Employee number 26 entered the server room at 12:52:56 today.</v>
      </c>
    </row>
    <row r="44" spans="2:11" x14ac:dyDescent="0.3">
      <c r="B44" s="69">
        <v>10</v>
      </c>
      <c r="C44" s="5">
        <v>0.53725000000000001</v>
      </c>
      <c r="D44" s="65">
        <f t="shared" si="0"/>
        <v>12</v>
      </c>
      <c r="E44" s="65">
        <f t="shared" si="1"/>
        <v>53</v>
      </c>
      <c r="F44" s="65">
        <f t="shared" si="2"/>
        <v>38</v>
      </c>
      <c r="G44" s="5">
        <v>12</v>
      </c>
      <c r="H44" s="5">
        <v>53</v>
      </c>
      <c r="I44" s="5">
        <v>38</v>
      </c>
      <c r="J44" s="65" t="str">
        <f t="shared" si="3"/>
        <v>12:53:38</v>
      </c>
      <c r="K44" s="57" t="str">
        <f t="shared" si="4"/>
        <v>Employee number 10 entered the server room at 12:53:38 today.</v>
      </c>
    </row>
    <row r="45" spans="2:11" x14ac:dyDescent="0.3">
      <c r="B45" s="69">
        <v>44</v>
      </c>
      <c r="C45" s="5">
        <v>0.53871000000000002</v>
      </c>
      <c r="D45" s="65">
        <f t="shared" si="0"/>
        <v>12</v>
      </c>
      <c r="E45" s="65">
        <f t="shared" si="1"/>
        <v>55</v>
      </c>
      <c r="F45" s="65">
        <f t="shared" si="2"/>
        <v>45</v>
      </c>
      <c r="G45" s="5">
        <v>12</v>
      </c>
      <c r="H45" s="5">
        <v>55</v>
      </c>
      <c r="I45" s="5">
        <v>45</v>
      </c>
      <c r="J45" s="65" t="str">
        <f t="shared" si="3"/>
        <v>12:55:45</v>
      </c>
      <c r="K45" s="57" t="str">
        <f t="shared" si="4"/>
        <v>Employee number 44 entered the server room at 12:55:45 today.</v>
      </c>
    </row>
    <row r="46" spans="2:11" x14ac:dyDescent="0.3">
      <c r="B46" s="69">
        <v>29</v>
      </c>
      <c r="C46" s="5">
        <v>0.55506</v>
      </c>
      <c r="D46" s="65">
        <f t="shared" si="0"/>
        <v>13</v>
      </c>
      <c r="E46" s="65">
        <f t="shared" si="1"/>
        <v>19</v>
      </c>
      <c r="F46" s="65">
        <f t="shared" si="2"/>
        <v>17</v>
      </c>
      <c r="G46" s="5">
        <v>13</v>
      </c>
      <c r="H46" s="5">
        <v>19</v>
      </c>
      <c r="I46" s="5">
        <v>17</v>
      </c>
      <c r="J46" s="65" t="str">
        <f t="shared" si="3"/>
        <v>13:19:17</v>
      </c>
      <c r="K46" s="57" t="str">
        <f t="shared" si="4"/>
        <v>Employee number 29 entered the server room at 13:19:17 today.</v>
      </c>
    </row>
    <row r="47" spans="2:11" ht="15" customHeight="1" x14ac:dyDescent="0.3">
      <c r="B47" s="69">
        <v>28</v>
      </c>
      <c r="C47" s="5">
        <v>0.58648999999999996</v>
      </c>
      <c r="D47" s="65">
        <f t="shared" si="0"/>
        <v>14</v>
      </c>
      <c r="E47" s="65">
        <f t="shared" si="1"/>
        <v>4</v>
      </c>
      <c r="F47" s="65">
        <f t="shared" si="2"/>
        <v>33</v>
      </c>
      <c r="G47" s="5">
        <v>14</v>
      </c>
      <c r="H47" s="5" t="s">
        <v>188</v>
      </c>
      <c r="I47" s="5">
        <v>33</v>
      </c>
      <c r="J47" s="65" t="str">
        <f t="shared" si="3"/>
        <v>14:04:33</v>
      </c>
      <c r="K47" s="57" t="str">
        <f t="shared" si="4"/>
        <v>Employee number 28 entered the server room at 14:04:33 today.</v>
      </c>
    </row>
    <row r="48" spans="2:11" x14ac:dyDescent="0.3">
      <c r="B48" s="69">
        <v>11</v>
      </c>
      <c r="C48" s="5">
        <v>0.61907999999999996</v>
      </c>
      <c r="D48" s="65">
        <f t="shared" si="0"/>
        <v>14</v>
      </c>
      <c r="E48" s="65">
        <f t="shared" si="1"/>
        <v>51</v>
      </c>
      <c r="F48" s="65">
        <f t="shared" si="2"/>
        <v>29</v>
      </c>
      <c r="G48" s="5">
        <v>14</v>
      </c>
      <c r="H48" s="5">
        <v>51</v>
      </c>
      <c r="I48" s="5">
        <v>29</v>
      </c>
      <c r="J48" s="65" t="str">
        <f t="shared" si="3"/>
        <v>14:51:29</v>
      </c>
      <c r="K48" s="57" t="str">
        <f t="shared" si="4"/>
        <v>Employee number 11 entered the server room at 14:51:29 today.</v>
      </c>
    </row>
    <row r="49" spans="2:11" x14ac:dyDescent="0.3">
      <c r="B49" s="69">
        <v>47</v>
      </c>
      <c r="C49" s="5">
        <v>0.62841000000000002</v>
      </c>
      <c r="D49" s="65">
        <f t="shared" ref="D49:D71" si="5">HOUR(C49)</f>
        <v>15</v>
      </c>
      <c r="E49" s="65">
        <f t="shared" ref="E49:E71" si="6">MINUTE(C49)</f>
        <v>4</v>
      </c>
      <c r="F49" s="65">
        <f t="shared" ref="F49:F71" si="7">SECOND(C49)</f>
        <v>55</v>
      </c>
      <c r="G49" s="5">
        <v>15</v>
      </c>
      <c r="H49" s="5" t="s">
        <v>188</v>
      </c>
      <c r="I49" s="5">
        <v>55</v>
      </c>
      <c r="J49" s="65" t="str">
        <f t="shared" ref="J49:J71" si="8">CONCATENATE(G49,":",H49,":",I49)</f>
        <v>15:04:55</v>
      </c>
      <c r="K49" s="57" t="str">
        <f t="shared" ref="K49:K71" si="9">CONCATENATE(C$10,B49,C$12,J49,C$13)</f>
        <v>Employee number 47 entered the server room at 15:04:55 today.</v>
      </c>
    </row>
    <row r="50" spans="2:11" x14ac:dyDescent="0.3">
      <c r="B50" s="69">
        <v>18</v>
      </c>
      <c r="C50" s="5">
        <v>0.63078000000000001</v>
      </c>
      <c r="D50" s="65">
        <f t="shared" si="5"/>
        <v>15</v>
      </c>
      <c r="E50" s="65">
        <f t="shared" si="6"/>
        <v>8</v>
      </c>
      <c r="F50" s="65">
        <f t="shared" si="7"/>
        <v>19</v>
      </c>
      <c r="G50" s="5">
        <v>15</v>
      </c>
      <c r="H50" s="5" t="s">
        <v>187</v>
      </c>
      <c r="I50" s="5">
        <v>19</v>
      </c>
      <c r="J50" s="65" t="str">
        <f t="shared" si="8"/>
        <v>15:08:19</v>
      </c>
      <c r="K50" s="57" t="str">
        <f t="shared" si="9"/>
        <v>Employee number 18 entered the server room at 15:08:19 today.</v>
      </c>
    </row>
    <row r="51" spans="2:11" x14ac:dyDescent="0.3">
      <c r="B51" s="69">
        <v>18</v>
      </c>
      <c r="C51" s="5">
        <v>0.63231999999999999</v>
      </c>
      <c r="D51" s="65">
        <f t="shared" si="5"/>
        <v>15</v>
      </c>
      <c r="E51" s="65">
        <f t="shared" si="6"/>
        <v>10</v>
      </c>
      <c r="F51" s="65">
        <f t="shared" si="7"/>
        <v>32</v>
      </c>
      <c r="G51" s="5">
        <v>15</v>
      </c>
      <c r="H51" s="5">
        <v>10</v>
      </c>
      <c r="I51" s="5">
        <v>32</v>
      </c>
      <c r="J51" s="65" t="str">
        <f t="shared" si="8"/>
        <v>15:10:32</v>
      </c>
      <c r="K51" s="57" t="str">
        <f t="shared" si="9"/>
        <v>Employee number 18 entered the server room at 15:10:32 today.</v>
      </c>
    </row>
    <row r="52" spans="2:11" x14ac:dyDescent="0.3">
      <c r="B52" s="69">
        <v>21</v>
      </c>
      <c r="C52" s="5">
        <v>0.65700000000000003</v>
      </c>
      <c r="D52" s="65">
        <f t="shared" si="5"/>
        <v>15</v>
      </c>
      <c r="E52" s="65">
        <f t="shared" si="6"/>
        <v>46</v>
      </c>
      <c r="F52" s="65">
        <f t="shared" si="7"/>
        <v>5</v>
      </c>
      <c r="G52" s="5">
        <v>15</v>
      </c>
      <c r="H52" s="5">
        <v>46</v>
      </c>
      <c r="I52" s="5" t="s">
        <v>189</v>
      </c>
      <c r="J52" s="65" t="str">
        <f t="shared" si="8"/>
        <v>15:46:05</v>
      </c>
      <c r="K52" s="57" t="str">
        <f t="shared" si="9"/>
        <v>Employee number 21 entered the server room at 15:46:05 today.</v>
      </c>
    </row>
    <row r="53" spans="2:11" x14ac:dyDescent="0.3">
      <c r="B53" s="69">
        <v>9</v>
      </c>
      <c r="C53" s="5">
        <v>0.67889999999999995</v>
      </c>
      <c r="D53" s="65">
        <f t="shared" si="5"/>
        <v>16</v>
      </c>
      <c r="E53" s="65">
        <f t="shared" si="6"/>
        <v>17</v>
      </c>
      <c r="F53" s="65">
        <f t="shared" si="7"/>
        <v>37</v>
      </c>
      <c r="G53" s="5">
        <v>16</v>
      </c>
      <c r="H53" s="5">
        <v>17</v>
      </c>
      <c r="I53" s="5">
        <v>37</v>
      </c>
      <c r="J53" s="65" t="str">
        <f t="shared" si="8"/>
        <v>16:17:37</v>
      </c>
      <c r="K53" s="57" t="str">
        <f t="shared" si="9"/>
        <v>Employee number 9 entered the server room at 16:17:37 today.</v>
      </c>
    </row>
    <row r="54" spans="2:11" ht="15" customHeight="1" x14ac:dyDescent="0.3">
      <c r="B54" s="69">
        <v>10</v>
      </c>
      <c r="C54" s="5">
        <v>0.74751999999999996</v>
      </c>
      <c r="D54" s="65">
        <f t="shared" si="5"/>
        <v>17</v>
      </c>
      <c r="E54" s="65">
        <f t="shared" si="6"/>
        <v>56</v>
      </c>
      <c r="F54" s="65">
        <f t="shared" si="7"/>
        <v>26</v>
      </c>
      <c r="G54" s="5">
        <v>17</v>
      </c>
      <c r="H54" s="5">
        <v>56</v>
      </c>
      <c r="I54" s="5">
        <v>26</v>
      </c>
      <c r="J54" s="65" t="str">
        <f t="shared" si="8"/>
        <v>17:56:26</v>
      </c>
      <c r="K54" s="57" t="str">
        <f t="shared" si="9"/>
        <v>Employee number 10 entered the server room at 17:56:26 today.</v>
      </c>
    </row>
    <row r="55" spans="2:11" x14ac:dyDescent="0.3">
      <c r="B55" s="69">
        <v>47</v>
      </c>
      <c r="C55" s="5">
        <v>0.74839</v>
      </c>
      <c r="D55" s="65">
        <f t="shared" si="5"/>
        <v>17</v>
      </c>
      <c r="E55" s="65">
        <f t="shared" si="6"/>
        <v>57</v>
      </c>
      <c r="F55" s="65">
        <f t="shared" si="7"/>
        <v>41</v>
      </c>
      <c r="G55" s="5">
        <v>17</v>
      </c>
      <c r="H55" s="5">
        <v>57</v>
      </c>
      <c r="I55" s="5">
        <v>41</v>
      </c>
      <c r="J55" s="65" t="str">
        <f t="shared" si="8"/>
        <v>17:57:41</v>
      </c>
      <c r="K55" s="57" t="str">
        <f t="shared" si="9"/>
        <v>Employee number 47 entered the server room at 17:57:41 today.</v>
      </c>
    </row>
    <row r="56" spans="2:11" x14ac:dyDescent="0.3">
      <c r="B56" s="69">
        <v>43</v>
      </c>
      <c r="C56" s="5">
        <v>0.75177000000000005</v>
      </c>
      <c r="D56" s="65">
        <f t="shared" si="5"/>
        <v>18</v>
      </c>
      <c r="E56" s="65">
        <f t="shared" si="6"/>
        <v>2</v>
      </c>
      <c r="F56" s="65">
        <f t="shared" si="7"/>
        <v>33</v>
      </c>
      <c r="G56" s="5">
        <v>18</v>
      </c>
      <c r="H56" s="5" t="s">
        <v>184</v>
      </c>
      <c r="I56" s="5">
        <v>33</v>
      </c>
      <c r="J56" s="65" t="str">
        <f t="shared" si="8"/>
        <v>18:02:33</v>
      </c>
      <c r="K56" s="57" t="str">
        <f t="shared" si="9"/>
        <v>Employee number 43 entered the server room at 18:02:33 today.</v>
      </c>
    </row>
    <row r="57" spans="2:11" x14ac:dyDescent="0.3">
      <c r="B57" s="69">
        <v>42</v>
      </c>
      <c r="C57" s="5">
        <v>0.76063999999999998</v>
      </c>
      <c r="D57" s="65">
        <f t="shared" si="5"/>
        <v>18</v>
      </c>
      <c r="E57" s="65">
        <f t="shared" si="6"/>
        <v>15</v>
      </c>
      <c r="F57" s="65">
        <f t="shared" si="7"/>
        <v>19</v>
      </c>
      <c r="G57" s="5">
        <v>18</v>
      </c>
      <c r="H57" s="5">
        <v>15</v>
      </c>
      <c r="I57" s="5">
        <v>19</v>
      </c>
      <c r="J57" s="65" t="str">
        <f t="shared" si="8"/>
        <v>18:15:19</v>
      </c>
      <c r="K57" s="57" t="str">
        <f t="shared" si="9"/>
        <v>Employee number 42 entered the server room at 18:15:19 today.</v>
      </c>
    </row>
    <row r="58" spans="2:11" x14ac:dyDescent="0.3">
      <c r="B58" s="69">
        <v>8</v>
      </c>
      <c r="C58" s="5">
        <v>0.78029999999999999</v>
      </c>
      <c r="D58" s="65">
        <f t="shared" si="5"/>
        <v>18</v>
      </c>
      <c r="E58" s="65">
        <f t="shared" si="6"/>
        <v>43</v>
      </c>
      <c r="F58" s="65">
        <f t="shared" si="7"/>
        <v>38</v>
      </c>
      <c r="G58" s="5">
        <v>18</v>
      </c>
      <c r="H58" s="5">
        <v>43</v>
      </c>
      <c r="I58" s="5">
        <v>38</v>
      </c>
      <c r="J58" s="65" t="str">
        <f t="shared" si="8"/>
        <v>18:43:38</v>
      </c>
      <c r="K58" s="57" t="str">
        <f t="shared" si="9"/>
        <v>Employee number 8 entered the server room at 18:43:38 today.</v>
      </c>
    </row>
    <row r="59" spans="2:11" x14ac:dyDescent="0.3">
      <c r="B59" s="69">
        <v>8</v>
      </c>
      <c r="C59" s="5">
        <v>0.78320999999999996</v>
      </c>
      <c r="D59" s="65">
        <f t="shared" si="5"/>
        <v>18</v>
      </c>
      <c r="E59" s="65">
        <f t="shared" si="6"/>
        <v>47</v>
      </c>
      <c r="F59" s="65">
        <f t="shared" si="7"/>
        <v>49</v>
      </c>
      <c r="G59" s="5">
        <v>18</v>
      </c>
      <c r="H59" s="5">
        <v>47</v>
      </c>
      <c r="I59" s="5">
        <v>49</v>
      </c>
      <c r="J59" s="65" t="str">
        <f t="shared" si="8"/>
        <v>18:47:49</v>
      </c>
      <c r="K59" s="57" t="str">
        <f t="shared" si="9"/>
        <v>Employee number 8 entered the server room at 18:47:49 today.</v>
      </c>
    </row>
    <row r="60" spans="2:11" x14ac:dyDescent="0.3">
      <c r="B60" s="69">
        <v>21</v>
      </c>
      <c r="C60" s="5">
        <v>0.83911999999999998</v>
      </c>
      <c r="D60" s="65">
        <f t="shared" si="5"/>
        <v>20</v>
      </c>
      <c r="E60" s="65">
        <f t="shared" si="6"/>
        <v>8</v>
      </c>
      <c r="F60" s="65">
        <f t="shared" si="7"/>
        <v>20</v>
      </c>
      <c r="G60" s="5">
        <v>20</v>
      </c>
      <c r="H60" s="5" t="s">
        <v>187</v>
      </c>
      <c r="I60" s="5">
        <v>20</v>
      </c>
      <c r="J60" s="65" t="str">
        <f t="shared" si="8"/>
        <v>20:08:20</v>
      </c>
      <c r="K60" s="57" t="str">
        <f t="shared" si="9"/>
        <v>Employee number 21 entered the server room at 20:08:20 today.</v>
      </c>
    </row>
    <row r="61" spans="2:11" x14ac:dyDescent="0.3">
      <c r="B61" s="69">
        <v>24</v>
      </c>
      <c r="C61" s="5">
        <v>0.86551</v>
      </c>
      <c r="D61" s="65">
        <f t="shared" si="5"/>
        <v>20</v>
      </c>
      <c r="E61" s="65">
        <f t="shared" si="6"/>
        <v>46</v>
      </c>
      <c r="F61" s="65">
        <f t="shared" si="7"/>
        <v>20</v>
      </c>
      <c r="G61" s="5">
        <v>20</v>
      </c>
      <c r="H61" s="5">
        <v>46</v>
      </c>
      <c r="I61" s="5">
        <v>20</v>
      </c>
      <c r="J61" s="65" t="str">
        <f t="shared" si="8"/>
        <v>20:46:20</v>
      </c>
      <c r="K61" s="57" t="str">
        <f t="shared" si="9"/>
        <v>Employee number 24 entered the server room at 20:46:20 today.</v>
      </c>
    </row>
    <row r="62" spans="2:11" x14ac:dyDescent="0.3">
      <c r="B62" s="69">
        <v>8</v>
      </c>
      <c r="C62" s="5">
        <v>0.87370000000000003</v>
      </c>
      <c r="D62" s="65">
        <f t="shared" si="5"/>
        <v>20</v>
      </c>
      <c r="E62" s="65">
        <f t="shared" si="6"/>
        <v>58</v>
      </c>
      <c r="F62" s="65">
        <f t="shared" si="7"/>
        <v>8</v>
      </c>
      <c r="G62" s="5">
        <v>20</v>
      </c>
      <c r="H62" s="5">
        <v>58</v>
      </c>
      <c r="I62" s="5" t="s">
        <v>187</v>
      </c>
      <c r="J62" s="65" t="str">
        <f t="shared" si="8"/>
        <v>20:58:08</v>
      </c>
      <c r="K62" s="57" t="str">
        <f t="shared" si="9"/>
        <v>Employee number 8 entered the server room at 20:58:08 today.</v>
      </c>
    </row>
    <row r="63" spans="2:11" x14ac:dyDescent="0.3">
      <c r="B63" s="69">
        <v>6</v>
      </c>
      <c r="C63" s="5">
        <v>0.88209000000000004</v>
      </c>
      <c r="D63" s="65">
        <f t="shared" si="5"/>
        <v>21</v>
      </c>
      <c r="E63" s="65">
        <f t="shared" si="6"/>
        <v>10</v>
      </c>
      <c r="F63" s="65">
        <f t="shared" si="7"/>
        <v>13</v>
      </c>
      <c r="G63" s="5">
        <v>21</v>
      </c>
      <c r="H63" s="5">
        <v>10</v>
      </c>
      <c r="I63" s="5">
        <v>13</v>
      </c>
      <c r="J63" s="65" t="str">
        <f t="shared" si="8"/>
        <v>21:10:13</v>
      </c>
      <c r="K63" s="57" t="str">
        <f t="shared" si="9"/>
        <v>Employee number 6 entered the server room at 21:10:13 today.</v>
      </c>
    </row>
    <row r="64" spans="2:11" x14ac:dyDescent="0.3">
      <c r="B64" s="69">
        <v>5</v>
      </c>
      <c r="C64" s="5">
        <v>0.88354999999999995</v>
      </c>
      <c r="D64" s="65">
        <f t="shared" si="5"/>
        <v>21</v>
      </c>
      <c r="E64" s="65">
        <f t="shared" si="6"/>
        <v>12</v>
      </c>
      <c r="F64" s="65">
        <f t="shared" si="7"/>
        <v>19</v>
      </c>
      <c r="G64" s="5">
        <v>21</v>
      </c>
      <c r="H64" s="5">
        <v>12</v>
      </c>
      <c r="I64" s="5">
        <v>19</v>
      </c>
      <c r="J64" s="65" t="str">
        <f t="shared" si="8"/>
        <v>21:12:19</v>
      </c>
      <c r="K64" s="57" t="str">
        <f t="shared" si="9"/>
        <v>Employee number 5 entered the server room at 21:12:19 today.</v>
      </c>
    </row>
    <row r="65" spans="2:11" x14ac:dyDescent="0.3">
      <c r="B65" s="69">
        <v>12</v>
      </c>
      <c r="C65" s="5">
        <v>0.89924000000000004</v>
      </c>
      <c r="D65" s="65">
        <f t="shared" si="5"/>
        <v>21</v>
      </c>
      <c r="E65" s="65">
        <f t="shared" si="6"/>
        <v>34</v>
      </c>
      <c r="F65" s="65">
        <f t="shared" si="7"/>
        <v>54</v>
      </c>
      <c r="G65" s="5">
        <v>21</v>
      </c>
      <c r="H65" s="5">
        <v>34</v>
      </c>
      <c r="I65" s="5">
        <v>54</v>
      </c>
      <c r="J65" s="65" t="str">
        <f t="shared" si="8"/>
        <v>21:34:54</v>
      </c>
      <c r="K65" s="57" t="str">
        <f t="shared" si="9"/>
        <v>Employee number 12 entered the server room at 21:34:54 today.</v>
      </c>
    </row>
    <row r="66" spans="2:11" x14ac:dyDescent="0.3">
      <c r="B66" s="69">
        <v>32</v>
      </c>
      <c r="C66" s="5">
        <v>0.92393999999999998</v>
      </c>
      <c r="D66" s="65">
        <f t="shared" si="5"/>
        <v>22</v>
      </c>
      <c r="E66" s="65">
        <f t="shared" si="6"/>
        <v>10</v>
      </c>
      <c r="F66" s="65">
        <f t="shared" si="7"/>
        <v>28</v>
      </c>
      <c r="G66" s="5">
        <v>22</v>
      </c>
      <c r="H66" s="5">
        <v>10</v>
      </c>
      <c r="I66" s="5">
        <v>28</v>
      </c>
      <c r="J66" s="65" t="str">
        <f t="shared" si="8"/>
        <v>22:10:28</v>
      </c>
      <c r="K66" s="57" t="str">
        <f t="shared" si="9"/>
        <v>Employee number 32 entered the server room at 22:10:28 today.</v>
      </c>
    </row>
    <row r="67" spans="2:11" x14ac:dyDescent="0.3">
      <c r="B67" s="69">
        <v>46</v>
      </c>
      <c r="C67" s="5">
        <v>0.92571000000000003</v>
      </c>
      <c r="D67" s="65">
        <f t="shared" si="5"/>
        <v>22</v>
      </c>
      <c r="E67" s="65">
        <f t="shared" si="6"/>
        <v>13</v>
      </c>
      <c r="F67" s="65">
        <f t="shared" si="7"/>
        <v>1</v>
      </c>
      <c r="G67" s="5">
        <v>22</v>
      </c>
      <c r="H67" s="5">
        <v>13</v>
      </c>
      <c r="I67" s="5" t="s">
        <v>185</v>
      </c>
      <c r="J67" s="65" t="str">
        <f t="shared" si="8"/>
        <v>22:13:01</v>
      </c>
      <c r="K67" s="57" t="str">
        <f t="shared" si="9"/>
        <v>Employee number 46 entered the server room at 22:13:01 today.</v>
      </c>
    </row>
    <row r="68" spans="2:11" x14ac:dyDescent="0.3">
      <c r="B68" s="69">
        <v>10</v>
      </c>
      <c r="C68" s="5">
        <v>0.93176000000000003</v>
      </c>
      <c r="D68" s="65">
        <f t="shared" si="5"/>
        <v>22</v>
      </c>
      <c r="E68" s="65">
        <f t="shared" si="6"/>
        <v>21</v>
      </c>
      <c r="F68" s="65">
        <f t="shared" si="7"/>
        <v>44</v>
      </c>
      <c r="G68" s="5">
        <v>22</v>
      </c>
      <c r="H68" s="5">
        <v>21</v>
      </c>
      <c r="I68" s="5">
        <v>44</v>
      </c>
      <c r="J68" s="65" t="str">
        <f t="shared" si="8"/>
        <v>22:21:44</v>
      </c>
      <c r="K68" s="57" t="str">
        <f t="shared" si="9"/>
        <v>Employee number 10 entered the server room at 22:21:44 today.</v>
      </c>
    </row>
    <row r="69" spans="2:11" x14ac:dyDescent="0.3">
      <c r="B69" s="69">
        <v>46</v>
      </c>
      <c r="C69" s="5">
        <v>0.96428000000000003</v>
      </c>
      <c r="D69" s="65">
        <f t="shared" si="5"/>
        <v>23</v>
      </c>
      <c r="E69" s="65">
        <f t="shared" si="6"/>
        <v>8</v>
      </c>
      <c r="F69" s="65">
        <f t="shared" si="7"/>
        <v>34</v>
      </c>
      <c r="G69" s="5">
        <v>23</v>
      </c>
      <c r="H69" s="5" t="s">
        <v>187</v>
      </c>
      <c r="I69" s="5">
        <v>34</v>
      </c>
      <c r="J69" s="65" t="str">
        <f t="shared" si="8"/>
        <v>23:08:34</v>
      </c>
      <c r="K69" s="57" t="str">
        <f t="shared" si="9"/>
        <v>Employee number 46 entered the server room at 23:08:34 today.</v>
      </c>
    </row>
    <row r="70" spans="2:11" x14ac:dyDescent="0.3">
      <c r="B70" s="69">
        <v>24</v>
      </c>
      <c r="C70" s="5">
        <v>0.96980999999999995</v>
      </c>
      <c r="D70" s="65">
        <f t="shared" si="5"/>
        <v>23</v>
      </c>
      <c r="E70" s="65">
        <f t="shared" si="6"/>
        <v>16</v>
      </c>
      <c r="F70" s="65">
        <f t="shared" si="7"/>
        <v>32</v>
      </c>
      <c r="G70" s="5">
        <v>23</v>
      </c>
      <c r="H70" s="5">
        <v>16</v>
      </c>
      <c r="I70" s="5">
        <v>32</v>
      </c>
      <c r="J70" s="65" t="str">
        <f t="shared" si="8"/>
        <v>23:16:32</v>
      </c>
      <c r="K70" s="57" t="str">
        <f t="shared" si="9"/>
        <v>Employee number 24 entered the server room at 23:16:32 today.</v>
      </c>
    </row>
    <row r="71" spans="2:11" x14ac:dyDescent="0.3">
      <c r="B71" s="69">
        <v>1</v>
      </c>
      <c r="C71" s="5">
        <v>0.97889000000000004</v>
      </c>
      <c r="D71" s="65">
        <f t="shared" si="5"/>
        <v>23</v>
      </c>
      <c r="E71" s="65">
        <f t="shared" si="6"/>
        <v>29</v>
      </c>
      <c r="F71" s="65">
        <f t="shared" si="7"/>
        <v>36</v>
      </c>
      <c r="G71" s="5">
        <v>23</v>
      </c>
      <c r="H71" s="5">
        <v>29</v>
      </c>
      <c r="I71" s="5">
        <v>36</v>
      </c>
      <c r="J71" s="65" t="str">
        <f t="shared" si="8"/>
        <v>23:29:36</v>
      </c>
      <c r="K71" s="57" t="str">
        <f t="shared" si="9"/>
        <v>Employee number 1 entered the server room at 23:29:36 today.</v>
      </c>
    </row>
    <row r="72" spans="2:11" ht="15" thickBot="1" x14ac:dyDescent="0.35">
      <c r="B72" s="27"/>
      <c r="C72" s="26"/>
      <c r="D72" s="26"/>
      <c r="E72" s="26"/>
      <c r="F72" s="26"/>
      <c r="G72" s="26"/>
      <c r="H72" s="26"/>
      <c r="I72" s="26"/>
      <c r="J72" s="26"/>
      <c r="K72" s="25"/>
    </row>
  </sheetData>
  <mergeCells count="4">
    <mergeCell ref="B2:K5"/>
    <mergeCell ref="C7:G7"/>
    <mergeCell ref="E9:I11"/>
    <mergeCell ref="G15:I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9777-FB44-41A3-83AE-429C04A914DF}">
  <dimension ref="A1:H100"/>
  <sheetViews>
    <sheetView workbookViewId="0">
      <selection activeCell="E24" sqref="E24"/>
    </sheetView>
  </sheetViews>
  <sheetFormatPr defaultRowHeight="14.4" x14ac:dyDescent="0.3"/>
  <cols>
    <col min="2" max="2" width="30.88671875" customWidth="1"/>
    <col min="3" max="3" width="21.5546875" customWidth="1"/>
    <col min="5" max="5" width="34.5546875" customWidth="1"/>
    <col min="6" max="6" width="20.88671875" customWidth="1"/>
    <col min="8" max="8" width="18.109375" bestFit="1" customWidth="1"/>
  </cols>
  <sheetData>
    <row r="1" spans="1:8" ht="15" thickBot="1" x14ac:dyDescent="0.35">
      <c r="A1" s="16"/>
    </row>
    <row r="2" spans="1:8" x14ac:dyDescent="0.3">
      <c r="B2" s="164" t="s">
        <v>192</v>
      </c>
      <c r="C2" s="165"/>
      <c r="D2" s="165"/>
      <c r="E2" s="165"/>
      <c r="F2" s="166"/>
    </row>
    <row r="3" spans="1:8" x14ac:dyDescent="0.3">
      <c r="B3" s="167"/>
      <c r="C3" s="168"/>
      <c r="D3" s="168"/>
      <c r="E3" s="168"/>
      <c r="F3" s="169"/>
    </row>
    <row r="4" spans="1:8" x14ac:dyDescent="0.3">
      <c r="B4" s="167"/>
      <c r="C4" s="168"/>
      <c r="D4" s="168"/>
      <c r="E4" s="168"/>
      <c r="F4" s="169"/>
    </row>
    <row r="5" spans="1:8" ht="15" thickBot="1" x14ac:dyDescent="0.35">
      <c r="B5" s="170"/>
      <c r="C5" s="171"/>
      <c r="D5" s="171"/>
      <c r="E5" s="171"/>
      <c r="F5" s="172"/>
    </row>
    <row r="8" spans="1:8" x14ac:dyDescent="0.3">
      <c r="B8" s="1" t="s">
        <v>193</v>
      </c>
      <c r="E8" s="1" t="s">
        <v>194</v>
      </c>
    </row>
    <row r="10" spans="1:8" x14ac:dyDescent="0.3">
      <c r="B10" t="s">
        <v>96</v>
      </c>
      <c r="C10" s="20">
        <v>9578.34</v>
      </c>
      <c r="E10" t="s">
        <v>96</v>
      </c>
      <c r="F10" s="24">
        <v>9578.34</v>
      </c>
    </row>
    <row r="11" spans="1:8" x14ac:dyDescent="0.3">
      <c r="B11" t="s">
        <v>195</v>
      </c>
      <c r="C11" s="23">
        <f>5.99%</f>
        <v>5.9900000000000002E-2</v>
      </c>
      <c r="E11" t="s">
        <v>196</v>
      </c>
      <c r="F11" s="22">
        <v>60</v>
      </c>
    </row>
    <row r="12" spans="1:8" x14ac:dyDescent="0.3">
      <c r="B12" t="s">
        <v>196</v>
      </c>
      <c r="C12" s="22">
        <v>60</v>
      </c>
      <c r="E12" t="s">
        <v>197</v>
      </c>
      <c r="F12" s="16">
        <v>-215.35</v>
      </c>
      <c r="H12" s="15"/>
    </row>
    <row r="14" spans="1:8" x14ac:dyDescent="0.3">
      <c r="B14" t="s">
        <v>197</v>
      </c>
      <c r="C14" s="17">
        <f>PMT(C11/12,C12,C10)</f>
        <v>-185.13161141269808</v>
      </c>
      <c r="E14" t="s">
        <v>195</v>
      </c>
      <c r="F14" s="21">
        <f>RATE(F11,F12,F10)*12</f>
        <v>0.12470662062808015</v>
      </c>
    </row>
    <row r="15" spans="1:8" x14ac:dyDescent="0.3">
      <c r="B15" s="205" t="s">
        <v>198</v>
      </c>
      <c r="C15" s="205"/>
      <c r="E15" t="s">
        <v>199</v>
      </c>
      <c r="F15" s="21">
        <f>EFFECT(F14,12)</f>
        <v>0.13208728768596156</v>
      </c>
    </row>
    <row r="16" spans="1:8" x14ac:dyDescent="0.3">
      <c r="B16" s="205"/>
      <c r="C16" s="205"/>
    </row>
    <row r="18" spans="2:6" x14ac:dyDescent="0.3">
      <c r="B18" s="1" t="s">
        <v>200</v>
      </c>
      <c r="E18" s="1" t="s">
        <v>201</v>
      </c>
    </row>
    <row r="20" spans="2:6" x14ac:dyDescent="0.3">
      <c r="B20" t="s">
        <v>96</v>
      </c>
      <c r="C20" s="20">
        <v>9578.34</v>
      </c>
      <c r="E20" t="s">
        <v>202</v>
      </c>
      <c r="F20" s="16">
        <v>-50</v>
      </c>
    </row>
    <row r="21" spans="2:6" x14ac:dyDescent="0.3">
      <c r="B21" t="s">
        <v>197</v>
      </c>
      <c r="C21" s="16">
        <v>-250</v>
      </c>
      <c r="E21" t="s">
        <v>195</v>
      </c>
      <c r="F21" s="19">
        <f>3%</f>
        <v>0.03</v>
      </c>
    </row>
    <row r="22" spans="2:6" x14ac:dyDescent="0.3">
      <c r="B22" t="s">
        <v>195</v>
      </c>
      <c r="C22" s="19">
        <f>4.99%</f>
        <v>4.99E-2</v>
      </c>
      <c r="E22" t="s">
        <v>203</v>
      </c>
      <c r="F22">
        <v>36</v>
      </c>
    </row>
    <row r="24" spans="2:6" x14ac:dyDescent="0.3">
      <c r="B24" t="s">
        <v>196</v>
      </c>
      <c r="C24" s="18">
        <f>NPER(C22/12,C21,C20)</f>
        <v>41.820706339044946</v>
      </c>
      <c r="E24" t="s">
        <v>204</v>
      </c>
      <c r="F24" s="17">
        <f>FV(F21/12,F22,F20)</f>
        <v>1881.0280154572511</v>
      </c>
    </row>
    <row r="25" spans="2:6" x14ac:dyDescent="0.3">
      <c r="B25" s="205" t="s">
        <v>198</v>
      </c>
      <c r="C25" s="205"/>
      <c r="E25" t="s">
        <v>205</v>
      </c>
      <c r="F25" s="17">
        <f>F20*F22</f>
        <v>-1800</v>
      </c>
    </row>
    <row r="26" spans="2:6" x14ac:dyDescent="0.3">
      <c r="B26" s="205"/>
      <c r="C26" s="205"/>
      <c r="E26" s="205" t="s">
        <v>198</v>
      </c>
      <c r="F26" s="205"/>
    </row>
    <row r="27" spans="2:6" x14ac:dyDescent="0.3">
      <c r="E27" s="205"/>
      <c r="F27" s="205"/>
    </row>
    <row r="100" spans="1:1" x14ac:dyDescent="0.3">
      <c r="A100" s="16"/>
    </row>
  </sheetData>
  <mergeCells count="4">
    <mergeCell ref="B2:F5"/>
    <mergeCell ref="B15:C16"/>
    <mergeCell ref="B25:C26"/>
    <mergeCell ref="E26:F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027E-68A6-4CBC-9654-164D289988C3}">
  <dimension ref="A1:M72"/>
  <sheetViews>
    <sheetView workbookViewId="0">
      <selection activeCell="F23" sqref="F23"/>
    </sheetView>
  </sheetViews>
  <sheetFormatPr defaultRowHeight="14.4" x14ac:dyDescent="0.3"/>
  <cols>
    <col min="2" max="2" width="25.33203125" bestFit="1" customWidth="1"/>
    <col min="3" max="4" width="14.77734375" bestFit="1" customWidth="1"/>
    <col min="5" max="5" width="21.33203125" bestFit="1" customWidth="1"/>
    <col min="6" max="6" width="13.44140625" bestFit="1" customWidth="1"/>
    <col min="7" max="7" width="4.33203125" customWidth="1"/>
    <col min="8" max="8" width="13.44140625" bestFit="1" customWidth="1"/>
    <col min="9" max="9" width="12.88671875" bestFit="1" customWidth="1"/>
    <col min="10" max="10" width="17.44140625" customWidth="1"/>
    <col min="11" max="11" width="14.5546875" bestFit="1" customWidth="1"/>
    <col min="12" max="15" width="14.77734375" bestFit="1" customWidth="1"/>
    <col min="16" max="16" width="19.109375" bestFit="1" customWidth="1"/>
    <col min="17" max="20" width="12.33203125" bestFit="1" customWidth="1"/>
  </cols>
  <sheetData>
    <row r="1" spans="1:13" ht="15" thickBot="1" x14ac:dyDescent="0.35">
      <c r="A1" s="51"/>
    </row>
    <row r="2" spans="1:13" ht="15" customHeight="1" x14ac:dyDescent="0.3">
      <c r="B2" s="152" t="s">
        <v>206</v>
      </c>
      <c r="C2" s="154"/>
      <c r="E2" s="152" t="s">
        <v>207</v>
      </c>
      <c r="F2" s="154"/>
      <c r="G2" s="1"/>
      <c r="H2" s="212" t="s">
        <v>208</v>
      </c>
      <c r="I2" s="208"/>
      <c r="J2" s="208"/>
      <c r="K2" s="208"/>
      <c r="L2" s="208"/>
      <c r="M2" s="209"/>
    </row>
    <row r="3" spans="1:13" ht="15" customHeight="1" x14ac:dyDescent="0.3">
      <c r="B3" s="29" t="s">
        <v>157</v>
      </c>
      <c r="C3" s="105">
        <v>290</v>
      </c>
      <c r="D3" s="107"/>
      <c r="E3" s="29" t="s">
        <v>209</v>
      </c>
      <c r="F3" s="105">
        <v>200</v>
      </c>
      <c r="H3" s="146" t="s">
        <v>210</v>
      </c>
      <c r="I3" s="147"/>
      <c r="J3" s="147"/>
      <c r="K3" s="147"/>
      <c r="L3" s="147"/>
      <c r="M3" s="148"/>
    </row>
    <row r="4" spans="1:13" x14ac:dyDescent="0.3">
      <c r="B4" s="29" t="s">
        <v>211</v>
      </c>
      <c r="C4" s="110">
        <v>75000000</v>
      </c>
      <c r="D4" s="107"/>
      <c r="E4" s="29" t="s">
        <v>212</v>
      </c>
      <c r="F4" s="109">
        <v>1000000</v>
      </c>
      <c r="H4" s="146"/>
      <c r="I4" s="147"/>
      <c r="J4" s="147"/>
      <c r="K4" s="147"/>
      <c r="L4" s="147"/>
      <c r="M4" s="148"/>
    </row>
    <row r="5" spans="1:13" ht="15" thickBot="1" x14ac:dyDescent="0.35">
      <c r="B5" s="27" t="s">
        <v>213</v>
      </c>
      <c r="C5" s="108">
        <v>35000000</v>
      </c>
      <c r="D5" s="107"/>
      <c r="E5" s="27" t="s">
        <v>214</v>
      </c>
      <c r="F5" s="106">
        <v>5000000</v>
      </c>
      <c r="H5" s="146"/>
      <c r="I5" s="147"/>
      <c r="J5" s="147"/>
      <c r="K5" s="147"/>
      <c r="L5" s="147"/>
      <c r="M5" s="148"/>
    </row>
    <row r="6" spans="1:13" ht="15" thickBot="1" x14ac:dyDescent="0.35">
      <c r="H6" s="146"/>
      <c r="I6" s="147"/>
      <c r="J6" s="147"/>
      <c r="K6" s="147"/>
      <c r="L6" s="147"/>
      <c r="M6" s="148"/>
    </row>
    <row r="7" spans="1:13" x14ac:dyDescent="0.3">
      <c r="B7" s="152" t="s">
        <v>215</v>
      </c>
      <c r="C7" s="154"/>
      <c r="E7" s="152" t="s">
        <v>216</v>
      </c>
      <c r="F7" s="154"/>
      <c r="H7" s="146"/>
      <c r="I7" s="147"/>
      <c r="J7" s="147"/>
      <c r="K7" s="147"/>
      <c r="L7" s="147"/>
      <c r="M7" s="148"/>
    </row>
    <row r="8" spans="1:13" x14ac:dyDescent="0.3">
      <c r="B8" s="29" t="s">
        <v>217</v>
      </c>
      <c r="C8" s="105">
        <v>199</v>
      </c>
      <c r="E8" s="29" t="s">
        <v>218</v>
      </c>
      <c r="F8" s="104">
        <f>IF(C3&gt;=499,0,C3*C14)</f>
        <v>761250000</v>
      </c>
      <c r="H8" s="146"/>
      <c r="I8" s="147"/>
      <c r="J8" s="147"/>
      <c r="K8" s="147"/>
      <c r="L8" s="147"/>
      <c r="M8" s="148"/>
    </row>
    <row r="9" spans="1:13" x14ac:dyDescent="0.3">
      <c r="B9" s="29" t="s">
        <v>219</v>
      </c>
      <c r="C9" s="105">
        <f>IF(C4&lt;=0,0,30+LOG((C4)/100000000,10)*30)</f>
        <v>26.251837901751003</v>
      </c>
      <c r="E9" s="29" t="s">
        <v>220</v>
      </c>
      <c r="F9" s="104">
        <f>C10*C14</f>
        <v>453463925.50790364</v>
      </c>
      <c r="H9" s="146"/>
      <c r="I9" s="147"/>
      <c r="J9" s="147"/>
      <c r="K9" s="147"/>
      <c r="L9" s="147"/>
      <c r="M9" s="148"/>
    </row>
    <row r="10" spans="1:13" ht="15" thickBot="1" x14ac:dyDescent="0.35">
      <c r="B10" s="27" t="s">
        <v>221</v>
      </c>
      <c r="C10" s="103">
        <f>C8-C9</f>
        <v>172.748162098249</v>
      </c>
      <c r="E10" s="29" t="s">
        <v>222</v>
      </c>
      <c r="F10" s="102">
        <f>SUM(C4:C5)</f>
        <v>110000000</v>
      </c>
      <c r="H10" s="146"/>
      <c r="I10" s="147"/>
      <c r="J10" s="147"/>
      <c r="K10" s="147"/>
      <c r="L10" s="147"/>
      <c r="M10" s="148"/>
    </row>
    <row r="11" spans="1:13" ht="15" thickBot="1" x14ac:dyDescent="0.35">
      <c r="B11" s="1"/>
      <c r="C11" s="51"/>
      <c r="E11" s="27"/>
      <c r="F11" s="25"/>
      <c r="H11" s="146"/>
      <c r="I11" s="147"/>
      <c r="J11" s="147"/>
      <c r="K11" s="147"/>
      <c r="L11" s="147"/>
      <c r="M11" s="148"/>
    </row>
    <row r="12" spans="1:13" x14ac:dyDescent="0.3">
      <c r="B12" s="152" t="s">
        <v>223</v>
      </c>
      <c r="C12" s="154"/>
      <c r="E12" s="101" t="s">
        <v>224</v>
      </c>
      <c r="F12" s="100">
        <f>F8-SUM(F9:F10)</f>
        <v>197786074.49209642</v>
      </c>
      <c r="H12" s="146"/>
      <c r="I12" s="147"/>
      <c r="J12" s="147"/>
      <c r="K12" s="147"/>
      <c r="L12" s="147"/>
      <c r="M12" s="148"/>
    </row>
    <row r="13" spans="1:13" x14ac:dyDescent="0.3">
      <c r="B13" s="29" t="s">
        <v>225</v>
      </c>
      <c r="C13" s="99">
        <f>IF(F3&gt;C3,0,IF((F3-C3)/F3&lt;-1,-1,(F3-C3)/F3))</f>
        <v>-0.45</v>
      </c>
      <c r="H13" s="146"/>
      <c r="I13" s="147"/>
      <c r="J13" s="147"/>
      <c r="K13" s="147"/>
      <c r="L13" s="147"/>
      <c r="M13" s="148"/>
    </row>
    <row r="14" spans="1:13" ht="15" thickBot="1" x14ac:dyDescent="0.35">
      <c r="B14" s="27" t="s">
        <v>226</v>
      </c>
      <c r="C14" s="98">
        <f>IF(C5&lt;=50000000,(F4+(F5+C13*F5))*(C5)/50000000,F4+(F5+C13*F5))</f>
        <v>2625000</v>
      </c>
      <c r="H14" s="146"/>
      <c r="I14" s="147"/>
      <c r="J14" s="147"/>
      <c r="K14" s="147"/>
      <c r="L14" s="147"/>
      <c r="M14" s="148"/>
    </row>
    <row r="15" spans="1:13" ht="15" thickBot="1" x14ac:dyDescent="0.35">
      <c r="H15" s="146"/>
      <c r="I15" s="147"/>
      <c r="J15" s="147"/>
      <c r="K15" s="147"/>
      <c r="L15" s="147"/>
      <c r="M15" s="148"/>
    </row>
    <row r="16" spans="1:13" x14ac:dyDescent="0.3">
      <c r="B16" s="85"/>
      <c r="C16" s="84"/>
      <c r="D16" s="84"/>
      <c r="E16" s="97"/>
      <c r="H16" s="146"/>
      <c r="I16" s="147"/>
      <c r="J16" s="147"/>
      <c r="K16" s="147"/>
      <c r="L16" s="147"/>
      <c r="M16" s="148"/>
    </row>
    <row r="17" spans="2:13" x14ac:dyDescent="0.3">
      <c r="B17" s="29"/>
      <c r="E17" s="28"/>
      <c r="H17" s="146"/>
      <c r="I17" s="147"/>
      <c r="J17" s="147"/>
      <c r="K17" s="147"/>
      <c r="L17" s="147"/>
      <c r="M17" s="148"/>
    </row>
    <row r="18" spans="2:13" x14ac:dyDescent="0.3">
      <c r="B18" s="29"/>
      <c r="E18" s="28"/>
      <c r="H18" s="146"/>
      <c r="I18" s="147"/>
      <c r="J18" s="147"/>
      <c r="K18" s="147"/>
      <c r="L18" s="147"/>
      <c r="M18" s="148"/>
    </row>
    <row r="19" spans="2:13" x14ac:dyDescent="0.3">
      <c r="B19" s="29"/>
      <c r="E19" s="28"/>
      <c r="H19" s="146"/>
      <c r="I19" s="147"/>
      <c r="J19" s="147"/>
      <c r="K19" s="147"/>
      <c r="L19" s="147"/>
      <c r="M19" s="148"/>
    </row>
    <row r="20" spans="2:13" x14ac:dyDescent="0.3">
      <c r="B20" s="29"/>
      <c r="E20" s="28"/>
      <c r="H20" s="146"/>
      <c r="I20" s="147"/>
      <c r="J20" s="147"/>
      <c r="K20" s="147"/>
      <c r="L20" s="147"/>
      <c r="M20" s="148"/>
    </row>
    <row r="21" spans="2:13" ht="15" thickBot="1" x14ac:dyDescent="0.35">
      <c r="B21" s="29"/>
      <c r="C21" s="51"/>
      <c r="E21" s="28"/>
      <c r="H21" s="149"/>
      <c r="I21" s="150"/>
      <c r="J21" s="150"/>
      <c r="K21" s="150"/>
      <c r="L21" s="150"/>
      <c r="M21" s="151"/>
    </row>
    <row r="22" spans="2:13" ht="15" thickBot="1" x14ac:dyDescent="0.35">
      <c r="B22" s="207" t="s">
        <v>227</v>
      </c>
      <c r="C22" s="206"/>
      <c r="D22" s="96" t="s">
        <v>228</v>
      </c>
      <c r="E22" s="25"/>
      <c r="H22" s="140"/>
      <c r="I22" s="140"/>
      <c r="J22" s="140"/>
      <c r="K22" s="140"/>
      <c r="L22" s="140"/>
      <c r="M22" s="140"/>
    </row>
    <row r="23" spans="2:13" ht="15" thickBot="1" x14ac:dyDescent="0.35">
      <c r="H23" s="140"/>
      <c r="I23" s="140"/>
      <c r="J23" s="140"/>
      <c r="K23" s="140"/>
      <c r="L23" s="140"/>
      <c r="M23" s="140"/>
    </row>
    <row r="24" spans="2:13" x14ac:dyDescent="0.3">
      <c r="B24" s="152" t="s">
        <v>229</v>
      </c>
      <c r="C24" s="154"/>
      <c r="H24" s="140"/>
      <c r="I24" s="140"/>
      <c r="J24" s="140"/>
      <c r="K24" s="140"/>
      <c r="L24" s="140"/>
      <c r="M24" s="140"/>
    </row>
    <row r="25" spans="2:13" x14ac:dyDescent="0.3">
      <c r="B25" s="29" t="s">
        <v>230</v>
      </c>
      <c r="C25" s="95" t="s">
        <v>231</v>
      </c>
    </row>
    <row r="26" spans="2:13" x14ac:dyDescent="0.3">
      <c r="B26" s="29" t="s">
        <v>232</v>
      </c>
      <c r="C26" s="94">
        <v>2625000</v>
      </c>
    </row>
    <row r="27" spans="2:13" x14ac:dyDescent="0.3">
      <c r="B27" s="29" t="s">
        <v>233</v>
      </c>
      <c r="C27" s="93" t="s">
        <v>234</v>
      </c>
    </row>
    <row r="28" spans="2:13" x14ac:dyDescent="0.3">
      <c r="B28" s="29"/>
      <c r="C28" s="28"/>
    </row>
    <row r="29" spans="2:13" ht="15" thickBot="1" x14ac:dyDescent="0.35">
      <c r="B29" s="87" t="s">
        <v>235</v>
      </c>
      <c r="C29" s="92">
        <v>290</v>
      </c>
    </row>
    <row r="30" spans="2:13" ht="15" thickBot="1" x14ac:dyDescent="0.35"/>
    <row r="31" spans="2:13" x14ac:dyDescent="0.3">
      <c r="B31" s="152" t="s">
        <v>236</v>
      </c>
      <c r="C31" s="154"/>
    </row>
    <row r="32" spans="2:13" x14ac:dyDescent="0.3">
      <c r="B32" s="91" t="s">
        <v>211</v>
      </c>
      <c r="C32" s="90">
        <f>F12</f>
        <v>197786074.49209642</v>
      </c>
    </row>
    <row r="33" spans="1:9" x14ac:dyDescent="0.3">
      <c r="B33" s="89">
        <v>0</v>
      </c>
      <c r="C33" s="88">
        <v>203875000</v>
      </c>
    </row>
    <row r="34" spans="1:9" x14ac:dyDescent="0.3">
      <c r="B34" s="89">
        <v>10000000</v>
      </c>
      <c r="C34" s="88">
        <v>193875000</v>
      </c>
    </row>
    <row r="35" spans="1:9" x14ac:dyDescent="0.3">
      <c r="B35" s="89">
        <v>20000000</v>
      </c>
      <c r="C35" s="88">
        <v>207581112.15853858</v>
      </c>
    </row>
    <row r="36" spans="1:9" x14ac:dyDescent="0.3">
      <c r="B36" s="89">
        <v>30000000</v>
      </c>
      <c r="C36" s="88">
        <v>211448298.80917335</v>
      </c>
    </row>
    <row r="37" spans="1:9" x14ac:dyDescent="0.3">
      <c r="B37" s="89">
        <v>40000000</v>
      </c>
      <c r="C37" s="88">
        <v>211287224.31707704</v>
      </c>
    </row>
    <row r="38" spans="1:9" x14ac:dyDescent="0.3">
      <c r="B38" s="89">
        <v>50000000</v>
      </c>
      <c r="C38" s="88">
        <v>208918887.84146142</v>
      </c>
    </row>
    <row r="39" spans="1:9" x14ac:dyDescent="0.3">
      <c r="B39" s="89">
        <v>60000000</v>
      </c>
      <c r="C39" s="88">
        <v>205154410.96771193</v>
      </c>
    </row>
    <row r="40" spans="1:9" x14ac:dyDescent="0.3">
      <c r="B40" s="89">
        <v>70000000</v>
      </c>
      <c r="C40" s="88">
        <v>200426470.65112269</v>
      </c>
    </row>
    <row r="41" spans="1:9" x14ac:dyDescent="0.3">
      <c r="B41" s="89">
        <v>80000000</v>
      </c>
      <c r="C41" s="88">
        <v>194993336.4756155</v>
      </c>
    </row>
    <row r="42" spans="1:9" x14ac:dyDescent="0.3">
      <c r="B42" s="89">
        <v>90000000</v>
      </c>
      <c r="C42" s="88">
        <v>189021597.61834693</v>
      </c>
    </row>
    <row r="43" spans="1:9" x14ac:dyDescent="0.3">
      <c r="B43" s="89">
        <v>100000000</v>
      </c>
      <c r="C43" s="88">
        <v>182625000</v>
      </c>
    </row>
    <row r="44" spans="1:9" x14ac:dyDescent="0.3">
      <c r="B44" s="29"/>
      <c r="C44" s="28"/>
    </row>
    <row r="45" spans="1:9" ht="15" thickBot="1" x14ac:dyDescent="0.35">
      <c r="B45" s="87" t="s">
        <v>237</v>
      </c>
      <c r="C45" s="86">
        <v>30000000</v>
      </c>
    </row>
    <row r="46" spans="1:9" ht="15" thickBot="1" x14ac:dyDescent="0.35"/>
    <row r="47" spans="1:9" x14ac:dyDescent="0.3">
      <c r="A47" s="85"/>
      <c r="B47" s="84"/>
      <c r="C47" s="208" t="s">
        <v>213</v>
      </c>
      <c r="D47" s="208"/>
      <c r="E47" s="209"/>
    </row>
    <row r="48" spans="1:9" x14ac:dyDescent="0.3">
      <c r="A48" s="29"/>
      <c r="B48" s="81">
        <f>F12</f>
        <v>197786074.49209642</v>
      </c>
      <c r="C48" s="37">
        <v>25000000</v>
      </c>
      <c r="D48" s="37">
        <v>50000000</v>
      </c>
      <c r="E48" s="83">
        <v>75000000</v>
      </c>
      <c r="F48" s="82"/>
      <c r="G48" s="82"/>
      <c r="H48" s="82"/>
      <c r="I48" s="82"/>
    </row>
    <row r="49" spans="1:9" x14ac:dyDescent="0.3">
      <c r="A49" s="210" t="s">
        <v>157</v>
      </c>
      <c r="B49" s="37">
        <v>200</v>
      </c>
      <c r="C49" s="81">
        <v>-18244486.294746995</v>
      </c>
      <c r="D49" s="81">
        <v>38511027.41050601</v>
      </c>
      <c r="E49" s="80">
        <v>13511027.41050601</v>
      </c>
      <c r="F49" s="82"/>
      <c r="G49" s="82"/>
      <c r="H49" s="82"/>
      <c r="I49" s="82"/>
    </row>
    <row r="50" spans="1:9" x14ac:dyDescent="0.3">
      <c r="A50" s="210"/>
      <c r="B50" s="37">
        <f t="shared" ref="B50:B69" si="0">B49+10</f>
        <v>210</v>
      </c>
      <c r="C50" s="81">
        <v>7099033.9675340652</v>
      </c>
      <c r="D50" s="81">
        <v>89198067.93506813</v>
      </c>
      <c r="E50" s="80">
        <v>64198067.93506813</v>
      </c>
      <c r="F50" s="82"/>
      <c r="G50" s="82"/>
      <c r="H50" s="82"/>
      <c r="I50" s="82"/>
    </row>
    <row r="51" spans="1:9" x14ac:dyDescent="0.3">
      <c r="A51" s="210"/>
      <c r="B51" s="37">
        <f t="shared" si="0"/>
        <v>220</v>
      </c>
      <c r="C51" s="81">
        <v>29942554.229815245</v>
      </c>
      <c r="D51" s="81">
        <v>134885108.45963049</v>
      </c>
      <c r="E51" s="80">
        <v>109885108.45963049</v>
      </c>
      <c r="F51" s="82"/>
      <c r="G51" s="82"/>
      <c r="H51" s="82"/>
      <c r="I51" s="82"/>
    </row>
    <row r="52" spans="1:9" x14ac:dyDescent="0.3">
      <c r="A52" s="210"/>
      <c r="B52" s="37">
        <f t="shared" si="0"/>
        <v>230</v>
      </c>
      <c r="C52" s="81">
        <v>50286074.492096424</v>
      </c>
      <c r="D52" s="81">
        <v>175572148.98419273</v>
      </c>
      <c r="E52" s="80">
        <v>150572148.98419273</v>
      </c>
      <c r="F52" s="82"/>
      <c r="G52" s="82"/>
      <c r="H52" s="82"/>
      <c r="I52" s="82"/>
    </row>
    <row r="53" spans="1:9" x14ac:dyDescent="0.3">
      <c r="A53" s="210"/>
      <c r="B53" s="37">
        <f t="shared" si="0"/>
        <v>240</v>
      </c>
      <c r="C53" s="81">
        <v>68129594.754377484</v>
      </c>
      <c r="D53" s="81">
        <v>211259189.50875497</v>
      </c>
      <c r="E53" s="80">
        <v>186259189.50875497</v>
      </c>
      <c r="F53" s="82"/>
      <c r="G53" s="82"/>
      <c r="H53" s="82"/>
      <c r="I53" s="82"/>
    </row>
    <row r="54" spans="1:9" x14ac:dyDescent="0.3">
      <c r="A54" s="210"/>
      <c r="B54" s="37">
        <f t="shared" si="0"/>
        <v>250</v>
      </c>
      <c r="C54" s="81">
        <v>83473115.016658604</v>
      </c>
      <c r="D54" s="81">
        <v>241946230.03331721</v>
      </c>
      <c r="E54" s="80">
        <v>216946230.03331721</v>
      </c>
      <c r="F54" s="82"/>
      <c r="G54" s="82"/>
      <c r="H54" s="82"/>
      <c r="I54" s="82"/>
    </row>
    <row r="55" spans="1:9" x14ac:dyDescent="0.3">
      <c r="A55" s="210"/>
      <c r="B55" s="37">
        <f t="shared" si="0"/>
        <v>260</v>
      </c>
      <c r="C55" s="81">
        <v>96316635.278939784</v>
      </c>
      <c r="D55" s="81">
        <v>267633270.55787957</v>
      </c>
      <c r="E55" s="80">
        <v>242633270.55787957</v>
      </c>
      <c r="F55" s="82"/>
      <c r="G55" s="82"/>
      <c r="H55" s="82"/>
      <c r="I55" s="82"/>
    </row>
    <row r="56" spans="1:9" x14ac:dyDescent="0.3">
      <c r="A56" s="210"/>
      <c r="B56" s="37">
        <f t="shared" si="0"/>
        <v>270</v>
      </c>
      <c r="C56" s="81">
        <v>106660155.5412209</v>
      </c>
      <c r="D56" s="81">
        <v>288320311.08244181</v>
      </c>
      <c r="E56" s="80">
        <v>263320311.08244181</v>
      </c>
      <c r="F56" s="82"/>
      <c r="G56" s="82"/>
      <c r="H56" s="82"/>
      <c r="I56" s="82"/>
    </row>
    <row r="57" spans="1:9" x14ac:dyDescent="0.3">
      <c r="A57" s="210"/>
      <c r="B57" s="37">
        <f t="shared" si="0"/>
        <v>280</v>
      </c>
      <c r="C57" s="81">
        <v>114503675.80350202</v>
      </c>
      <c r="D57" s="81">
        <v>304007351.60700405</v>
      </c>
      <c r="E57" s="80">
        <v>279007351.60700405</v>
      </c>
      <c r="F57" s="82"/>
      <c r="G57" s="82"/>
      <c r="H57" s="82"/>
      <c r="I57" s="82"/>
    </row>
    <row r="58" spans="1:9" x14ac:dyDescent="0.3">
      <c r="A58" s="210"/>
      <c r="B58" s="37">
        <f t="shared" si="0"/>
        <v>290</v>
      </c>
      <c r="C58" s="81">
        <v>119847196.06578314</v>
      </c>
      <c r="D58" s="81">
        <v>314694392.13156629</v>
      </c>
      <c r="E58" s="80">
        <v>289694392.13156629</v>
      </c>
      <c r="F58" s="82"/>
      <c r="G58" s="82"/>
      <c r="H58" s="82"/>
      <c r="I58" s="82"/>
    </row>
    <row r="59" spans="1:9" x14ac:dyDescent="0.3">
      <c r="A59" s="210"/>
      <c r="B59" s="37">
        <f t="shared" si="0"/>
        <v>300</v>
      </c>
      <c r="C59" s="81">
        <v>122690716.32806426</v>
      </c>
      <c r="D59" s="81">
        <v>320381432.65612853</v>
      </c>
      <c r="E59" s="80">
        <v>295381432.65612853</v>
      </c>
      <c r="F59" s="82"/>
      <c r="G59" s="82"/>
      <c r="H59" s="82"/>
      <c r="I59" s="82"/>
    </row>
    <row r="60" spans="1:9" x14ac:dyDescent="0.3">
      <c r="A60" s="210"/>
      <c r="B60" s="37">
        <f t="shared" si="0"/>
        <v>310</v>
      </c>
      <c r="C60" s="81">
        <v>123034236.59034538</v>
      </c>
      <c r="D60" s="81">
        <v>321068473.18069077</v>
      </c>
      <c r="E60" s="80">
        <v>296068473.18069077</v>
      </c>
      <c r="F60" s="82"/>
      <c r="G60" s="82"/>
      <c r="H60" s="82"/>
      <c r="I60" s="82"/>
    </row>
    <row r="61" spans="1:9" x14ac:dyDescent="0.3">
      <c r="A61" s="210"/>
      <c r="B61" s="37">
        <f t="shared" si="0"/>
        <v>320</v>
      </c>
      <c r="C61" s="81">
        <v>120877756.8526265</v>
      </c>
      <c r="D61" s="81">
        <v>316755513.70525301</v>
      </c>
      <c r="E61" s="80">
        <v>291755513.70525301</v>
      </c>
      <c r="F61" s="82"/>
      <c r="G61" s="82"/>
      <c r="H61" s="82"/>
      <c r="I61" s="82"/>
    </row>
    <row r="62" spans="1:9" x14ac:dyDescent="0.3">
      <c r="A62" s="210"/>
      <c r="B62" s="37">
        <f t="shared" si="0"/>
        <v>330</v>
      </c>
      <c r="C62" s="81">
        <v>116221277.11490762</v>
      </c>
      <c r="D62" s="81">
        <v>307442554.22981524</v>
      </c>
      <c r="E62" s="80">
        <v>282442554.22981524</v>
      </c>
      <c r="F62" s="82"/>
      <c r="G62" s="82"/>
      <c r="H62" s="82"/>
      <c r="I62" s="82"/>
    </row>
    <row r="63" spans="1:9" x14ac:dyDescent="0.3">
      <c r="A63" s="210"/>
      <c r="B63" s="37">
        <f t="shared" si="0"/>
        <v>340</v>
      </c>
      <c r="C63" s="81">
        <v>109064797.37718874</v>
      </c>
      <c r="D63" s="81">
        <v>293129594.75437748</v>
      </c>
      <c r="E63" s="80">
        <v>268129594.75437748</v>
      </c>
      <c r="F63" s="82"/>
      <c r="G63" s="82"/>
      <c r="H63" s="82"/>
      <c r="I63" s="82"/>
    </row>
    <row r="64" spans="1:9" x14ac:dyDescent="0.3">
      <c r="A64" s="210"/>
      <c r="B64" s="37">
        <f t="shared" si="0"/>
        <v>350</v>
      </c>
      <c r="C64" s="81">
        <v>99408317.639469862</v>
      </c>
      <c r="D64" s="81">
        <v>273816635.27893978</v>
      </c>
      <c r="E64" s="80">
        <v>248816635.27893972</v>
      </c>
      <c r="F64" s="82"/>
      <c r="G64" s="82"/>
      <c r="H64" s="82"/>
      <c r="I64" s="82"/>
    </row>
    <row r="65" spans="1:9" x14ac:dyDescent="0.3">
      <c r="A65" s="210"/>
      <c r="B65" s="37">
        <f t="shared" si="0"/>
        <v>360</v>
      </c>
      <c r="C65" s="81">
        <v>87251837.901751041</v>
      </c>
      <c r="D65" s="81">
        <v>249503675.80350202</v>
      </c>
      <c r="E65" s="80">
        <v>224503675.80350202</v>
      </c>
      <c r="F65" s="82"/>
      <c r="G65" s="82"/>
      <c r="H65" s="82"/>
      <c r="I65" s="82"/>
    </row>
    <row r="66" spans="1:9" x14ac:dyDescent="0.3">
      <c r="A66" s="210"/>
      <c r="B66" s="37">
        <f t="shared" si="0"/>
        <v>370</v>
      </c>
      <c r="C66" s="81">
        <v>72595358.164032131</v>
      </c>
      <c r="D66" s="81">
        <v>220190716.32806426</v>
      </c>
      <c r="E66" s="80">
        <v>195190716.32806426</v>
      </c>
      <c r="F66" s="82"/>
      <c r="G66" s="82"/>
      <c r="H66" s="82"/>
      <c r="I66" s="82"/>
    </row>
    <row r="67" spans="1:9" x14ac:dyDescent="0.3">
      <c r="A67" s="210"/>
      <c r="B67" s="37">
        <f t="shared" si="0"/>
        <v>380</v>
      </c>
      <c r="C67" s="81">
        <v>55438878.426313251</v>
      </c>
      <c r="D67" s="81">
        <v>185877756.8526265</v>
      </c>
      <c r="E67" s="80">
        <v>160877756.8526265</v>
      </c>
      <c r="F67" s="82"/>
      <c r="G67" s="82"/>
      <c r="H67" s="82"/>
      <c r="I67" s="82"/>
    </row>
    <row r="68" spans="1:9" x14ac:dyDescent="0.3">
      <c r="A68" s="210"/>
      <c r="B68" s="37">
        <f t="shared" si="0"/>
        <v>390</v>
      </c>
      <c r="C68" s="81">
        <v>35782398.688594371</v>
      </c>
      <c r="D68" s="81">
        <v>146564797.37718874</v>
      </c>
      <c r="E68" s="80">
        <v>121564797.37718874</v>
      </c>
      <c r="F68" s="82"/>
      <c r="G68" s="82"/>
      <c r="H68" s="82"/>
      <c r="I68" s="82"/>
    </row>
    <row r="69" spans="1:9" x14ac:dyDescent="0.3">
      <c r="A69" s="210"/>
      <c r="B69" s="37">
        <f t="shared" si="0"/>
        <v>400</v>
      </c>
      <c r="C69" s="81">
        <v>13625918.950875521</v>
      </c>
      <c r="D69" s="81">
        <v>102251837.90175104</v>
      </c>
      <c r="E69" s="80">
        <v>77251837.901751041</v>
      </c>
    </row>
    <row r="70" spans="1:9" x14ac:dyDescent="0.3">
      <c r="A70" s="29"/>
      <c r="E70" s="28"/>
      <c r="F70" s="51"/>
    </row>
    <row r="71" spans="1:9" x14ac:dyDescent="0.3">
      <c r="A71" s="29"/>
      <c r="B71" s="211" t="s">
        <v>238</v>
      </c>
      <c r="C71" s="211"/>
      <c r="D71" s="211"/>
      <c r="E71" s="80">
        <v>50000000</v>
      </c>
    </row>
    <row r="72" spans="1:9" ht="15" thickBot="1" x14ac:dyDescent="0.35">
      <c r="A72" s="27"/>
      <c r="B72" s="206" t="s">
        <v>239</v>
      </c>
      <c r="C72" s="206"/>
      <c r="D72" s="206"/>
      <c r="E72" s="79">
        <v>310</v>
      </c>
    </row>
  </sheetData>
  <mergeCells count="14">
    <mergeCell ref="A49:A69"/>
    <mergeCell ref="B71:D71"/>
    <mergeCell ref="B2:C2"/>
    <mergeCell ref="E2:F2"/>
    <mergeCell ref="H2:M2"/>
    <mergeCell ref="H3:M21"/>
    <mergeCell ref="B7:C7"/>
    <mergeCell ref="E7:F7"/>
    <mergeCell ref="B12:C12"/>
    <mergeCell ref="B72:D72"/>
    <mergeCell ref="B22:C22"/>
    <mergeCell ref="B24:C24"/>
    <mergeCell ref="B31:C31"/>
    <mergeCell ref="C47:E47"/>
  </mergeCells>
  <dataValidations count="8">
    <dataValidation type="list" allowBlank="1" showInputMessage="1" showErrorMessage="1" promptTitle="Best Price" prompt="Select the best price from the list." sqref="E72" xr:uid="{67C1858D-4518-4D83-992F-13CE56886B2A}">
      <formula1>Price_Values</formula1>
    </dataValidation>
    <dataValidation type="list" allowBlank="1" showInputMessage="1" showErrorMessage="1" promptTitle="Advertising Budget" prompt="Selected the correct advertising budget value from the list." sqref="E71" xr:uid="{1C907A76-5A40-4359-8F7B-2507F63BA19E}">
      <formula1>Advertising_Values</formula1>
    </dataValidation>
    <dataValidation type="list" allowBlank="1" showInputMessage="1" showErrorMessage="1" promptTitle="Best Supplier Contract Value" prompt="Select the best supplier contract value from the list." sqref="C45" xr:uid="{4A5ECE4F-2615-4CFC-8421-426827DF9CCA}">
      <formula1>Supplier_Contract_Values</formula1>
    </dataValidation>
    <dataValidation type="list" allowBlank="1" showInputMessage="1" showErrorMessage="1" promptTitle="Goal Seek Resulting Price" prompt="Select the Price that is the result of your Goal Seek Analysis." sqref="C29" xr:uid="{87E37DB6-DD69-4AAF-9917-BC16B532DCF3}">
      <formula1>Goal_Seek_Changing_Values</formula1>
    </dataValidation>
    <dataValidation type="list" allowBlank="1" showInputMessage="1" showErrorMessage="1" promptTitle="Goal Seek Set Cell" prompt="Select the &quot;By Changing Cell&quot; for your Goal Seek Analysis from the list." sqref="C27" xr:uid="{7BCDA365-B82C-4F7D-B2E3-B85C6D61CE91}">
      <formula1>Goal_Seek_Selections</formula1>
    </dataValidation>
    <dataValidation type="list" allowBlank="1" showInputMessage="1" showErrorMessage="1" promptTitle="Goal Seek To Value" prompt="Select the &quot;To Value&quot; for your Goal Seek Analysis from the list." sqref="C26" xr:uid="{E04620B5-802A-4745-9969-D2C9C00543E1}">
      <formula1>Goal_Seek_To_Values</formula1>
    </dataValidation>
    <dataValidation type="list" allowBlank="1" showInputMessage="1" showErrorMessage="1" promptTitle="Goal Seek Set Cell" prompt="Select the &quot;Set Cell&quot; for your Goal Seek Analysis from the list." sqref="C25" xr:uid="{F4B621C5-6B1B-4776-90BA-9FA49CD4A972}">
      <formula1>Goal_Seek_Selections</formula1>
    </dataValidation>
    <dataValidation type="list" allowBlank="1" showInputMessage="1" showErrorMessage="1" promptTitle="Decision Set Selection" prompt="Choose the Scenario that is most profitable." sqref="D22" xr:uid="{7C51CDC4-BB42-4EA0-8651-70B9DB1C373C}">
      <formula1>Choose_the_Correct_Decision_Set</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DFA2-69AD-46BE-88D9-E5F6E204CAA2}">
  <dimension ref="B1:G21"/>
  <sheetViews>
    <sheetView workbookViewId="0">
      <selection activeCell="G5" sqref="G5"/>
    </sheetView>
  </sheetViews>
  <sheetFormatPr defaultColWidth="8.77734375" defaultRowHeight="14.4" x14ac:dyDescent="0.3"/>
  <cols>
    <col min="1" max="1" width="10.77734375" bestFit="1" customWidth="1"/>
    <col min="2" max="2" width="12.33203125" bestFit="1" customWidth="1"/>
  </cols>
  <sheetData>
    <row r="1" spans="2:7" ht="15" thickBot="1" x14ac:dyDescent="0.35"/>
    <row r="2" spans="2:7" ht="15" customHeight="1" x14ac:dyDescent="0.3">
      <c r="B2" s="143" t="s">
        <v>240</v>
      </c>
      <c r="C2" s="144"/>
      <c r="D2" s="144"/>
      <c r="E2" s="144"/>
      <c r="F2" s="144"/>
      <c r="G2" s="145"/>
    </row>
    <row r="3" spans="2:7" x14ac:dyDescent="0.3">
      <c r="B3" s="146"/>
      <c r="C3" s="147"/>
      <c r="D3" s="147"/>
      <c r="E3" s="147"/>
      <c r="F3" s="147"/>
      <c r="G3" s="148"/>
    </row>
    <row r="4" spans="2:7" ht="15" thickBot="1" x14ac:dyDescent="0.35">
      <c r="B4" s="149"/>
      <c r="C4" s="150"/>
      <c r="D4" s="150"/>
      <c r="E4" s="150"/>
      <c r="F4" s="150"/>
      <c r="G4" s="151"/>
    </row>
    <row r="5" spans="2:7" x14ac:dyDescent="0.3">
      <c r="B5" s="136"/>
      <c r="C5" s="136"/>
      <c r="D5" s="136"/>
      <c r="E5" s="136"/>
      <c r="F5" s="136"/>
      <c r="G5" s="136"/>
    </row>
    <row r="7" spans="2:7" ht="15" customHeight="1" x14ac:dyDescent="0.3">
      <c r="C7" s="213" t="s">
        <v>241</v>
      </c>
      <c r="D7" s="213"/>
      <c r="E7" s="213"/>
      <c r="F7" s="213"/>
      <c r="G7" s="213"/>
    </row>
    <row r="8" spans="2:7" x14ac:dyDescent="0.3">
      <c r="B8" s="116" t="s">
        <v>242</v>
      </c>
      <c r="C8" s="56">
        <v>2006</v>
      </c>
      <c r="D8" s="56">
        <v>2007</v>
      </c>
      <c r="E8" s="56">
        <v>2008</v>
      </c>
      <c r="F8" s="56">
        <v>2009</v>
      </c>
      <c r="G8" s="56">
        <v>2010</v>
      </c>
    </row>
    <row r="9" spans="2:7" x14ac:dyDescent="0.3">
      <c r="B9" s="8" t="s">
        <v>243</v>
      </c>
      <c r="C9" s="113">
        <v>2.31</v>
      </c>
      <c r="D9" s="113">
        <v>0.69</v>
      </c>
      <c r="E9" s="113">
        <v>1.64</v>
      </c>
      <c r="F9" s="113">
        <v>3.42</v>
      </c>
      <c r="G9" s="113">
        <v>0.77</v>
      </c>
    </row>
    <row r="10" spans="2:7" x14ac:dyDescent="0.3">
      <c r="B10" s="8" t="s">
        <v>244</v>
      </c>
      <c r="C10" s="113">
        <v>0.77</v>
      </c>
      <c r="D10" s="113">
        <v>1.77</v>
      </c>
      <c r="E10" s="113">
        <v>1.6</v>
      </c>
      <c r="F10" s="113">
        <v>1.2</v>
      </c>
      <c r="G10" s="113">
        <v>1.04</v>
      </c>
    </row>
    <row r="11" spans="2:7" x14ac:dyDescent="0.3">
      <c r="B11" s="8" t="s">
        <v>245</v>
      </c>
      <c r="C11" s="113">
        <v>3.21</v>
      </c>
      <c r="D11" s="113">
        <v>1.45</v>
      </c>
      <c r="E11" s="113">
        <v>0.84</v>
      </c>
      <c r="F11" s="113">
        <v>1.08</v>
      </c>
      <c r="G11" s="113">
        <v>1.39</v>
      </c>
    </row>
    <row r="12" spans="2:7" x14ac:dyDescent="0.3">
      <c r="B12" s="8" t="s">
        <v>246</v>
      </c>
      <c r="C12" s="113">
        <v>3.38</v>
      </c>
      <c r="D12" s="113">
        <v>0.93</v>
      </c>
      <c r="E12" s="113">
        <v>0.28999999999999998</v>
      </c>
      <c r="F12" s="113">
        <v>4.6900000000000004</v>
      </c>
      <c r="G12" s="113">
        <v>2.68</v>
      </c>
    </row>
    <row r="13" spans="2:7" x14ac:dyDescent="0.3">
      <c r="B13" s="8" t="s">
        <v>247</v>
      </c>
      <c r="C13" s="113">
        <v>0.71</v>
      </c>
      <c r="D13" s="113">
        <v>1.26</v>
      </c>
      <c r="E13" s="113">
        <v>1.77</v>
      </c>
      <c r="F13" s="113">
        <v>1.76</v>
      </c>
      <c r="G13" s="113">
        <v>3.39</v>
      </c>
    </row>
    <row r="14" spans="2:7" x14ac:dyDescent="0.3">
      <c r="B14" s="8" t="s">
        <v>248</v>
      </c>
      <c r="C14" s="113">
        <v>0.88</v>
      </c>
      <c r="D14" s="113">
        <v>1.05</v>
      </c>
      <c r="E14" s="113">
        <v>0.32</v>
      </c>
      <c r="F14" s="113">
        <v>1.9</v>
      </c>
      <c r="G14" s="113">
        <v>0.93</v>
      </c>
    </row>
    <row r="15" spans="2:7" x14ac:dyDescent="0.3">
      <c r="B15" s="115" t="s">
        <v>249</v>
      </c>
      <c r="C15" s="114">
        <v>0.39</v>
      </c>
      <c r="D15" s="113">
        <v>0.28000000000000003</v>
      </c>
      <c r="E15" s="113">
        <v>0.31</v>
      </c>
      <c r="F15" s="113">
        <v>0.17</v>
      </c>
      <c r="G15" s="113">
        <v>0.18</v>
      </c>
    </row>
    <row r="16" spans="2:7" x14ac:dyDescent="0.3">
      <c r="B16" s="115" t="s">
        <v>250</v>
      </c>
      <c r="C16" s="114">
        <v>0.81</v>
      </c>
      <c r="D16" s="113">
        <v>0.41</v>
      </c>
      <c r="E16" s="113">
        <v>0.1</v>
      </c>
      <c r="F16" s="113">
        <v>0.37</v>
      </c>
      <c r="G16" s="113">
        <v>0.94</v>
      </c>
    </row>
    <row r="17" spans="2:7" x14ac:dyDescent="0.3">
      <c r="B17" s="115" t="s">
        <v>251</v>
      </c>
      <c r="C17" s="114">
        <v>2.0299999999999998</v>
      </c>
      <c r="D17" s="113">
        <v>1.7</v>
      </c>
      <c r="E17" s="113">
        <v>1.25</v>
      </c>
      <c r="F17" s="113">
        <v>1.08</v>
      </c>
      <c r="G17" s="113">
        <v>0.14000000000000001</v>
      </c>
    </row>
    <row r="18" spans="2:7" x14ac:dyDescent="0.3">
      <c r="B18" s="8" t="s">
        <v>252</v>
      </c>
      <c r="C18" s="113">
        <v>1.9</v>
      </c>
      <c r="D18" s="113">
        <v>1.85</v>
      </c>
      <c r="E18" s="113">
        <v>1.46</v>
      </c>
      <c r="F18" s="113">
        <v>1.17</v>
      </c>
      <c r="G18" s="113">
        <v>2.89</v>
      </c>
    </row>
    <row r="19" spans="2:7" x14ac:dyDescent="0.3">
      <c r="B19" s="8" t="s">
        <v>253</v>
      </c>
      <c r="C19" s="113">
        <v>0.85</v>
      </c>
      <c r="D19" s="113">
        <v>0.32</v>
      </c>
      <c r="E19" s="113">
        <v>1.53</v>
      </c>
      <c r="F19" s="113">
        <v>0.43</v>
      </c>
      <c r="G19" s="113">
        <v>1.56</v>
      </c>
    </row>
    <row r="20" spans="2:7" x14ac:dyDescent="0.3">
      <c r="B20" s="8" t="s">
        <v>254</v>
      </c>
      <c r="C20" s="113">
        <v>1.56</v>
      </c>
      <c r="D20" s="113">
        <v>3.72</v>
      </c>
      <c r="E20" s="113">
        <v>1.61</v>
      </c>
      <c r="F20" s="113">
        <v>2.23</v>
      </c>
      <c r="G20" s="113">
        <v>5.69</v>
      </c>
    </row>
    <row r="21" spans="2:7" ht="15" customHeight="1" x14ac:dyDescent="0.3">
      <c r="B21" s="112" t="s">
        <v>255</v>
      </c>
      <c r="C21" s="111">
        <f>SUM(C9:C20)</f>
        <v>18.8</v>
      </c>
      <c r="D21" s="111">
        <f>SUM(D9:D20)</f>
        <v>15.43</v>
      </c>
      <c r="E21" s="111">
        <f>SUM(E9:E20)</f>
        <v>12.72</v>
      </c>
      <c r="F21" s="111">
        <f>SUM(F9:F20)</f>
        <v>19.5</v>
      </c>
      <c r="G21" s="111">
        <f>SUM(G9:G20)</f>
        <v>21.6</v>
      </c>
    </row>
  </sheetData>
  <mergeCells count="2">
    <mergeCell ref="B2:G4"/>
    <mergeCell ref="C7:G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2E2E-0D24-419E-B8A1-FBC538C1319D}">
  <dimension ref="B1:G21"/>
  <sheetViews>
    <sheetView workbookViewId="0">
      <selection activeCell="F28" sqref="F28"/>
    </sheetView>
  </sheetViews>
  <sheetFormatPr defaultColWidth="8.77734375" defaultRowHeight="14.4" x14ac:dyDescent="0.3"/>
  <cols>
    <col min="1" max="1" width="10.77734375" bestFit="1" customWidth="1"/>
    <col min="2" max="2" width="12.33203125" bestFit="1" customWidth="1"/>
  </cols>
  <sheetData>
    <row r="1" spans="2:7" ht="15" thickBot="1" x14ac:dyDescent="0.35"/>
    <row r="2" spans="2:7" ht="15" customHeight="1" x14ac:dyDescent="0.3">
      <c r="B2" s="143" t="s">
        <v>256</v>
      </c>
      <c r="C2" s="144"/>
      <c r="D2" s="144"/>
      <c r="E2" s="144"/>
      <c r="F2" s="144"/>
      <c r="G2" s="145"/>
    </row>
    <row r="3" spans="2:7" x14ac:dyDescent="0.3">
      <c r="B3" s="146"/>
      <c r="C3" s="147"/>
      <c r="D3" s="147"/>
      <c r="E3" s="147"/>
      <c r="F3" s="147"/>
      <c r="G3" s="148"/>
    </row>
    <row r="4" spans="2:7" ht="15" thickBot="1" x14ac:dyDescent="0.35">
      <c r="B4" s="149"/>
      <c r="C4" s="150"/>
      <c r="D4" s="150"/>
      <c r="E4" s="150"/>
      <c r="F4" s="150"/>
      <c r="G4" s="151"/>
    </row>
    <row r="5" spans="2:7" x14ac:dyDescent="0.3">
      <c r="B5" s="136"/>
      <c r="C5" s="136"/>
      <c r="D5" s="136"/>
      <c r="E5" s="136"/>
      <c r="F5" s="136"/>
      <c r="G5" s="136"/>
    </row>
    <row r="7" spans="2:7" ht="15" customHeight="1" x14ac:dyDescent="0.3">
      <c r="C7" s="213" t="s">
        <v>241</v>
      </c>
      <c r="D7" s="213"/>
      <c r="E7" s="213"/>
      <c r="F7" s="213"/>
      <c r="G7" s="213"/>
    </row>
    <row r="8" spans="2:7" x14ac:dyDescent="0.3">
      <c r="B8" s="116" t="s">
        <v>242</v>
      </c>
      <c r="C8" s="56">
        <v>2006</v>
      </c>
      <c r="D8" s="56">
        <v>2007</v>
      </c>
      <c r="E8" s="56">
        <v>2008</v>
      </c>
      <c r="F8" s="56">
        <v>2009</v>
      </c>
      <c r="G8" s="56">
        <v>2010</v>
      </c>
    </row>
    <row r="9" spans="2:7" x14ac:dyDescent="0.3">
      <c r="B9" s="8" t="s">
        <v>243</v>
      </c>
      <c r="C9" s="113">
        <v>2.31</v>
      </c>
      <c r="D9" s="113">
        <v>0.69</v>
      </c>
      <c r="E9" s="113">
        <v>1.64</v>
      </c>
      <c r="F9" s="113">
        <v>3.42</v>
      </c>
      <c r="G9" s="113">
        <v>0.77</v>
      </c>
    </row>
    <row r="10" spans="2:7" x14ac:dyDescent="0.3">
      <c r="B10" s="8" t="s">
        <v>244</v>
      </c>
      <c r="C10" s="113">
        <v>0.77</v>
      </c>
      <c r="D10" s="113">
        <v>1.77</v>
      </c>
      <c r="E10" s="113">
        <v>1.6</v>
      </c>
      <c r="F10" s="113">
        <v>1.2</v>
      </c>
      <c r="G10" s="113">
        <v>1.04</v>
      </c>
    </row>
    <row r="11" spans="2:7" x14ac:dyDescent="0.3">
      <c r="B11" s="8" t="s">
        <v>245</v>
      </c>
      <c r="C11" s="113">
        <v>3.21</v>
      </c>
      <c r="D11" s="113">
        <v>1.45</v>
      </c>
      <c r="E11" s="113">
        <v>0.84</v>
      </c>
      <c r="F11" s="113">
        <v>1.08</v>
      </c>
      <c r="G11" s="113">
        <v>1.39</v>
      </c>
    </row>
    <row r="12" spans="2:7" x14ac:dyDescent="0.3">
      <c r="B12" s="120" t="s">
        <v>246</v>
      </c>
      <c r="C12" s="119">
        <v>3.38</v>
      </c>
      <c r="D12" s="119">
        <v>0.93</v>
      </c>
      <c r="E12" s="119">
        <v>0.28999999999999998</v>
      </c>
      <c r="F12" s="119">
        <v>4.6900000000000004</v>
      </c>
      <c r="G12" s="119">
        <v>2.68</v>
      </c>
    </row>
    <row r="13" spans="2:7" x14ac:dyDescent="0.3">
      <c r="B13" s="120" t="s">
        <v>247</v>
      </c>
      <c r="C13" s="119">
        <v>0.71</v>
      </c>
      <c r="D13" s="119">
        <v>1.26</v>
      </c>
      <c r="E13" s="119">
        <v>1.77</v>
      </c>
      <c r="F13" s="119">
        <v>1.76</v>
      </c>
      <c r="G13" s="119">
        <v>3.39</v>
      </c>
    </row>
    <row r="14" spans="2:7" x14ac:dyDescent="0.3">
      <c r="B14" s="120" t="s">
        <v>248</v>
      </c>
      <c r="C14" s="119">
        <v>0.88</v>
      </c>
      <c r="D14" s="119">
        <v>1.05</v>
      </c>
      <c r="E14" s="119">
        <v>0.32</v>
      </c>
      <c r="F14" s="119">
        <v>1.9</v>
      </c>
      <c r="G14" s="119">
        <v>0.93</v>
      </c>
    </row>
    <row r="15" spans="2:7" x14ac:dyDescent="0.3">
      <c r="B15" s="8" t="s">
        <v>249</v>
      </c>
      <c r="C15" s="113">
        <v>0.39</v>
      </c>
      <c r="D15" s="113">
        <v>0.28000000000000003</v>
      </c>
      <c r="E15" s="113">
        <v>0.31</v>
      </c>
      <c r="F15" s="113">
        <v>0.17</v>
      </c>
      <c r="G15" s="113">
        <v>0.18</v>
      </c>
    </row>
    <row r="16" spans="2:7" x14ac:dyDescent="0.3">
      <c r="B16" s="8" t="s">
        <v>250</v>
      </c>
      <c r="C16" s="113">
        <v>0.81</v>
      </c>
      <c r="D16" s="113">
        <v>0.41</v>
      </c>
      <c r="E16" s="113">
        <v>0.1</v>
      </c>
      <c r="F16" s="113">
        <v>0.37</v>
      </c>
      <c r="G16" s="113">
        <v>0.94</v>
      </c>
    </row>
    <row r="17" spans="2:7" x14ac:dyDescent="0.3">
      <c r="B17" s="8" t="s">
        <v>251</v>
      </c>
      <c r="C17" s="113">
        <v>2.0299999999999998</v>
      </c>
      <c r="D17" s="113">
        <v>1.7</v>
      </c>
      <c r="E17" s="113">
        <v>1.25</v>
      </c>
      <c r="F17" s="113">
        <v>1.08</v>
      </c>
      <c r="G17" s="113">
        <v>0.14000000000000001</v>
      </c>
    </row>
    <row r="18" spans="2:7" x14ac:dyDescent="0.3">
      <c r="B18" s="8" t="s">
        <v>252</v>
      </c>
      <c r="C18" s="113">
        <v>1.9</v>
      </c>
      <c r="D18" s="113">
        <v>1.85</v>
      </c>
      <c r="E18" s="113">
        <v>1.46</v>
      </c>
      <c r="F18" s="113">
        <v>1.17</v>
      </c>
      <c r="G18" s="113">
        <v>2.89</v>
      </c>
    </row>
    <row r="19" spans="2:7" x14ac:dyDescent="0.3">
      <c r="B19" s="8" t="s">
        <v>253</v>
      </c>
      <c r="C19" s="113">
        <v>0.85</v>
      </c>
      <c r="D19" s="113">
        <v>0.32</v>
      </c>
      <c r="E19" s="113">
        <v>1.53</v>
      </c>
      <c r="F19" s="113">
        <v>0.43</v>
      </c>
      <c r="G19" s="113">
        <v>1.56</v>
      </c>
    </row>
    <row r="20" spans="2:7" x14ac:dyDescent="0.3">
      <c r="B20" s="8" t="s">
        <v>254</v>
      </c>
      <c r="C20" s="113">
        <v>1.56</v>
      </c>
      <c r="D20" s="113">
        <v>3.72</v>
      </c>
      <c r="E20" s="113">
        <v>1.61</v>
      </c>
      <c r="F20" s="113">
        <v>2.23</v>
      </c>
      <c r="G20" s="113">
        <v>5.69</v>
      </c>
    </row>
    <row r="21" spans="2:7" ht="15" customHeight="1" x14ac:dyDescent="0.3">
      <c r="B21" s="118" t="s">
        <v>255</v>
      </c>
      <c r="C21" s="117">
        <f>SUM(C9:C20)</f>
        <v>18.8</v>
      </c>
      <c r="D21" s="117">
        <f>SUM(D9:D20)</f>
        <v>15.43</v>
      </c>
      <c r="E21" s="117">
        <f>SUM(E9:E20)</f>
        <v>12.72</v>
      </c>
      <c r="F21" s="117">
        <f>SUM(F9:F20)</f>
        <v>19.5</v>
      </c>
      <c r="G21" s="117">
        <f>SUM(G9:G20)</f>
        <v>21.6</v>
      </c>
    </row>
  </sheetData>
  <mergeCells count="2">
    <mergeCell ref="B2:G4"/>
    <mergeCell ref="C7:G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Basic Statistical Functions</vt:lpstr>
      <vt:lpstr>Advanced Statistical Functions</vt:lpstr>
      <vt:lpstr>Basic Conditional Functions</vt:lpstr>
      <vt:lpstr>IF Functions</vt:lpstr>
      <vt:lpstr>Boolean Functions</vt:lpstr>
      <vt:lpstr>Lookup Functions</vt:lpstr>
      <vt:lpstr>Text &amp; Time Functions</vt:lpstr>
      <vt:lpstr>Financial Functions</vt:lpstr>
      <vt:lpstr>Modeling</vt:lpstr>
      <vt:lpstr>Pie Chart</vt:lpstr>
      <vt:lpstr>Stacked Columns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Hans Haroldsen</dc:creator>
  <cp:keywords/>
  <dc:description/>
  <cp:lastModifiedBy>Hans M. Haroldsen</cp:lastModifiedBy>
  <cp:revision/>
  <dcterms:created xsi:type="dcterms:W3CDTF">2019-10-09T17:49:05Z</dcterms:created>
  <dcterms:modified xsi:type="dcterms:W3CDTF">2026-08-29T23:46:14Z</dcterms:modified>
  <cp:category/>
  <cp:contentStatus/>
</cp:coreProperties>
</file>